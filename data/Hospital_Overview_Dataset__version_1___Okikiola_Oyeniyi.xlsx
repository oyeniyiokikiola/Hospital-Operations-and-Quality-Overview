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ords\OneDrive\Desktop\TECH STUDIO ACADEMY MATERIALS\My Assignments\"/>
    </mc:Choice>
  </mc:AlternateContent>
  <xr:revisionPtr revIDLastSave="0" documentId="13_ncr:1_{22FE3B40-2626-45C3-BD5C-C17C84CFBDCD}" xr6:coauthVersionLast="47" xr6:coauthVersionMax="47" xr10:uidLastSave="{00000000-0000-0000-0000-000000000000}"/>
  <bookViews>
    <workbookView xWindow="-120" yWindow="-120" windowWidth="29040" windowHeight="15720" activeTab="3" xr2:uid="{FED92C3C-71E8-42F9-B1E1-89856585D539}"/>
  </bookViews>
  <sheets>
    <sheet name="questions" sheetId="2" r:id="rId1"/>
    <sheet name="ANALYSIS" sheetId="5" r:id="rId2"/>
    <sheet name="HOSPITAL OVERVIEW" sheetId="31" state="hidden" r:id="rId3"/>
    <sheet name="Hospital Dashboard" sheetId="32" r:id="rId4"/>
    <sheet name="source Data" sheetId="1" r:id="rId5"/>
    <sheet name="DASHBOARD" sheetId="10" state="hidden" r:id="rId6"/>
  </sheets>
  <definedNames>
    <definedName name="_xlcn.WorksheetConnection_HospitalDatasetversion1.xlsb.xlsxHospital1" hidden="1">'source Data'!$A$1:$R$16</definedName>
    <definedName name="_xlcn.WorksheetConnection_sourceDataCC1" hidden="1">'source Data'!$C:$C</definedName>
    <definedName name="Slicer_Department">#N/A</definedName>
    <definedName name="Slicer_Gender">#N/A</definedName>
    <definedName name="Slicer_Payment_Method">#N/A</definedName>
    <definedName name="Slicer_Readmission">#N/A</definedName>
    <definedName name="Slicer_Treatment_Type">#N/A</definedName>
  </definedNames>
  <calcPr calcId="191029"/>
  <pivotCaches>
    <pivotCache cacheId="23" r:id="rId7"/>
    <pivotCache cacheId="24" r:id="rId8"/>
    <pivotCache cacheId="25"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ource Data!$C:$C"/>
          <x15:modelTable id="Hospital" name="Hospital" connection="WorksheetConnection_Hospital Dataset (version 1).xlsb.xlsx!Hospita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6" i="5" l="1"/>
  <c r="D17" i="5"/>
  <c r="A22" i="5"/>
  <c r="I2" i="5"/>
  <c r="C2" i="1" a="1"/>
  <c r="C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B6" i="2"/>
  <c r="N2" i="1"/>
  <c r="B1" i="2"/>
  <c r="B2" i="2" a="1"/>
  <c r="B2" i="2" s="1"/>
  <c r="B3" i="2"/>
  <c r="B4" i="2"/>
  <c r="B5" i="2"/>
  <c r="B7" i="2"/>
  <c r="B8" i="2" a="1"/>
  <c r="B8" i="2" s="1"/>
  <c r="N3" i="1"/>
  <c r="N4" i="1"/>
  <c r="N5" i="1"/>
  <c r="N6" i="1"/>
  <c r="N7" i="1"/>
  <c r="N8" i="1"/>
  <c r="N9" i="1"/>
  <c r="N10" i="1"/>
  <c r="N11" i="1"/>
  <c r="N12" i="1"/>
  <c r="N13" i="1"/>
  <c r="N14" i="1"/>
  <c r="N15" i="1"/>
  <c r="N16" i="1"/>
  <c r="D33" i="5"/>
  <c r="B33" i="5"/>
  <c r="O33" i="5"/>
  <c r="G33" i="5"/>
  <c r="B9" i="2" l="1"/>
  <c r="C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B25037-00D5-4E83-8E79-B6A1D14982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00F22D2-C317-422F-9499-E00EB86C6C5C}" name="WorksheetConnection_Hospital Dataset (version 1).xlsb.xlsx!Hospital" type="102" refreshedVersion="8" minRefreshableVersion="5">
    <extLst>
      <ext xmlns:x15="http://schemas.microsoft.com/office/spreadsheetml/2010/11/main" uri="{DE250136-89BD-433C-8126-D09CA5730AF9}">
        <x15:connection id="Hospital" autoDelete="1">
          <x15:rangePr sourceName="_xlcn.WorksheetConnection_HospitalDatasetversion1.xlsb.xlsxHospital1"/>
        </x15:connection>
      </ext>
    </extLst>
  </connection>
  <connection id="3" xr16:uid="{E9C10B2B-2360-47A1-BCD0-33015B10C842}" name="WorksheetConnection_source Data!$C:$C" type="102" refreshedVersion="8" minRefreshableVersion="5">
    <extLst>
      <ext xmlns:x15="http://schemas.microsoft.com/office/spreadsheetml/2010/11/main" uri="{DE250136-89BD-433C-8126-D09CA5730AF9}">
        <x15:connection id="Range" autoDelete="1">
          <x15:rangePr sourceName="_xlcn.WorksheetConnection_sourceDataCC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<sst xmlns="http://schemas.openxmlformats.org/spreadsheetml/2006/main" count="329" uniqueCount="109">
  <si>
    <t>Patient ID</t>
  </si>
  <si>
    <t>Age</t>
  </si>
  <si>
    <t>Gender</t>
  </si>
  <si>
    <t>Admission Date</t>
  </si>
  <si>
    <t>Discharge Date</t>
  </si>
  <si>
    <t>Department</t>
  </si>
  <si>
    <t>Diagnosis</t>
  </si>
  <si>
    <t>Treatment Type</t>
  </si>
  <si>
    <t>Length of Stay</t>
  </si>
  <si>
    <t>Total Bill Amount</t>
  </si>
  <si>
    <t>Payment Method</t>
  </si>
  <si>
    <t>Insurance Provider</t>
  </si>
  <si>
    <t>Satisfaction Score</t>
  </si>
  <si>
    <t>Readmission</t>
  </si>
  <si>
    <t>Emergency Admission</t>
  </si>
  <si>
    <t>Mortality Status</t>
  </si>
  <si>
    <t>P0001</t>
  </si>
  <si>
    <t>Female</t>
  </si>
  <si>
    <t>Orthopedics</t>
  </si>
  <si>
    <t>Fracture</t>
  </si>
  <si>
    <t>Therapy</t>
  </si>
  <si>
    <t>Credit Card</t>
  </si>
  <si>
    <t>None</t>
  </si>
  <si>
    <t>No</t>
  </si>
  <si>
    <t>Survived</t>
  </si>
  <si>
    <t>P0002</t>
  </si>
  <si>
    <t>Male</t>
  </si>
  <si>
    <t>Cardiology</t>
  </si>
  <si>
    <t>Hypertension</t>
  </si>
  <si>
    <t>Medication</t>
  </si>
  <si>
    <t>Insurance</t>
  </si>
  <si>
    <t>Aetna</t>
  </si>
  <si>
    <t>Yes</t>
  </si>
  <si>
    <t>P0003</t>
  </si>
  <si>
    <t>Neurology</t>
  </si>
  <si>
    <t>Migraine</t>
  </si>
  <si>
    <t>Observation</t>
  </si>
  <si>
    <t>Cash</t>
  </si>
  <si>
    <t>P0004</t>
  </si>
  <si>
    <t>Arrhythmia</t>
  </si>
  <si>
    <t>Surgery</t>
  </si>
  <si>
    <t>Blue Cross</t>
  </si>
  <si>
    <t>P0005</t>
  </si>
  <si>
    <t>Pediatrics</t>
  </si>
  <si>
    <t>Asthma</t>
  </si>
  <si>
    <t>P0006</t>
  </si>
  <si>
    <t>Stroke</t>
  </si>
  <si>
    <t>Deceased</t>
  </si>
  <si>
    <t>P0007</t>
  </si>
  <si>
    <t>Dislocation</t>
  </si>
  <si>
    <t>P0008</t>
  </si>
  <si>
    <t>Heart Attack</t>
  </si>
  <si>
    <t>Cigna</t>
  </si>
  <si>
    <t>P0009</t>
  </si>
  <si>
    <t>Epilepsy</t>
  </si>
  <si>
    <t>P0010</t>
  </si>
  <si>
    <t>Gynecology</t>
  </si>
  <si>
    <t>Pregnancy</t>
  </si>
  <si>
    <t>P0011</t>
  </si>
  <si>
    <t>Oncology</t>
  </si>
  <si>
    <t>Cancer</t>
  </si>
  <si>
    <t>Chemotherapy</t>
  </si>
  <si>
    <t>P0012</t>
  </si>
  <si>
    <t>Geriatrics</t>
  </si>
  <si>
    <t>Pneumonia</t>
  </si>
  <si>
    <t>P0013</t>
  </si>
  <si>
    <t>Angina</t>
  </si>
  <si>
    <t>P0014</t>
  </si>
  <si>
    <t>P0015</t>
  </si>
  <si>
    <t>1. What is the average length of stay for patients across all departments?</t>
  </si>
  <si>
    <t>2. Which department has the highest number of patients?</t>
  </si>
  <si>
    <t>3. What is the total revenue generated by the hospital?</t>
  </si>
  <si>
    <t>4. What is the average patient satisfaction score?</t>
  </si>
  <si>
    <t>5. What percentage of patients were admitted in emergency conditions?</t>
  </si>
  <si>
    <t>6. What is the mortality rate among patients?</t>
  </si>
  <si>
    <t>9. What is the average bill amount for patients with insurance vs. those without insurance?</t>
  </si>
  <si>
    <t>10. Which age group has the highest number of patients?</t>
  </si>
  <si>
    <t>7. What is the average patient satisfaction score?</t>
  </si>
  <si>
    <t>8. Which payment method is most common?</t>
  </si>
  <si>
    <t>11. What is the department-wise average patient satisfaction score?</t>
  </si>
  <si>
    <t>Insurance Status</t>
  </si>
  <si>
    <t>Count of Patient ID</t>
  </si>
  <si>
    <t>Row Labels</t>
  </si>
  <si>
    <t>Grand Total</t>
  </si>
  <si>
    <t>Sum of Total Bill Amount</t>
  </si>
  <si>
    <t>Average of Length of Stay</t>
  </si>
  <si>
    <t>Average of Satisfaction Score</t>
  </si>
  <si>
    <t>Insured</t>
  </si>
  <si>
    <t>Not Insured</t>
  </si>
  <si>
    <t>Average of Total Bill Amount</t>
  </si>
  <si>
    <t>KPI</t>
  </si>
  <si>
    <t>Age Group</t>
  </si>
  <si>
    <t>18-27</t>
  </si>
  <si>
    <t>28-37</t>
  </si>
  <si>
    <t>38-47</t>
  </si>
  <si>
    <t>48-57</t>
  </si>
  <si>
    <t>58-67</t>
  </si>
  <si>
    <t>68-77</t>
  </si>
  <si>
    <t>78-87</t>
  </si>
  <si>
    <t>Average length of stay by department</t>
  </si>
  <si>
    <t>KPIs</t>
  </si>
  <si>
    <t>Count of Readmission</t>
  </si>
  <si>
    <t>Column Labels</t>
  </si>
  <si>
    <t>18-25</t>
  </si>
  <si>
    <t>26-35</t>
  </si>
  <si>
    <t>36-45</t>
  </si>
  <si>
    <t>46-55</t>
  </si>
  <si>
    <t>56-65</t>
  </si>
  <si>
    <t>66-80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</si>
</sst>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2" formatCode="_(&quot;$&quot;* #,##0_);_(&quot;$&quot;* \(#,##0\);_(&quot;$&quot;* &quot;-&quot;_);_(@_)"/>
    <numFmt numFmtId="44" formatCode="_(&quot;$&quot;* #,##0.00_);_(&quot;$&quot;* \(#,##0.00\);_(&quot;$&quot;* &quot;-&quot;??_);_(@_)"/>
  </numFmts>
  <fonts count="8" x14ac:knownFonts="1">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b/>
      <sz val="18"/>
      <color theme="1"/>
      <name val="Calibri"/>
      <family val="2"/>
      <scheme val="minor"/>
    </font>
    <font>
      <sz val="18"/>
      <color theme="1"/>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50DD9A"/>
        <bgColor indexed="64"/>
      </patternFill>
    </fill>
  </fills>
  <borders count="2">
    <border>
      <left/>
      <right/>
      <top/>
      <bottom/>
      <diagonal/>
    </border>
    <border>
      <left/>
      <right/>
      <top style="thin">
        <color theme="4" tint="0.39997558519241921"/>
      </top>
      <bottom/>
      <diagonal/>
    </border>
  </borders>
  <cellStyleXfs count="4">
    <xf numFmtId="0" fontId="0" fillId="0" borderId="0"/>
    <xf numFmtId="0" fontId="3" fillId="0" borderId="0" applyNumberFormat="0" applyFill="0" applyBorder="0" applyAlignment="0" applyProtection="0"/>
    <xf numFmtId="9" fontId="6" fillId="0" borderId="0" applyFont="0" applyFill="0" applyBorder="0" applyAlignment="0" applyProtection="0"/>
    <xf numFmtId="44" fontId="6" fillId="0" borderId="0" applyFont="0" applyFill="0" applyBorder="0" applyAlignment="0" applyProtection="0"/>
  </cellStyleXfs>
  <cellXfs count="3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xf>
    <xf numFmtId="0" fontId="0" fillId="0" borderId="0" xfId="0" applyAlignment="1">
      <alignment horizontal="left" vertical="center" indent="1"/>
    </xf>
    <xf numFmtId="0" fontId="1" fillId="0" borderId="0" xfId="0" applyFont="1"/>
    <xf numFmtId="0" fontId="1" fillId="0" borderId="0" xfId="0" applyFont="1"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2"/>
    </xf>
    <xf numFmtId="0" fontId="3" fillId="0" borderId="0" xfId="1"/>
    <xf numFmtId="0" fontId="4" fillId="0" borderId="0" xfId="0" applyFont="1" applyAlignment="1">
      <alignment vertical="center"/>
    </xf>
    <xf numFmtId="0" fontId="5" fillId="0" borderId="0" xfId="0" applyFont="1"/>
    <xf numFmtId="0" fontId="5" fillId="0" borderId="0" xfId="0" applyFont="1" applyAlignment="1">
      <alignment horizontal="left" vertical="center" indent="2"/>
    </xf>
    <xf numFmtId="9" fontId="0" fillId="0" borderId="0" xfId="2" applyFont="1"/>
    <xf numFmtId="9" fontId="5" fillId="0" borderId="0" xfId="2" applyFont="1"/>
    <xf numFmtId="0" fontId="0" fillId="0" borderId="0" xfId="0" pivotButton="1"/>
    <xf numFmtId="0" fontId="0" fillId="0" borderId="0" xfId="0" applyAlignment="1">
      <alignment horizontal="left"/>
    </xf>
    <xf numFmtId="9" fontId="0" fillId="0" borderId="0" xfId="0" pivotButton="1" applyNumberFormat="1"/>
    <xf numFmtId="0" fontId="0" fillId="2" borderId="1" xfId="0" applyFill="1" applyBorder="1" applyAlignment="1">
      <alignment vertical="center" wrapText="1"/>
    </xf>
    <xf numFmtId="14" fontId="0" fillId="2" borderId="1" xfId="0" applyNumberFormat="1" applyFill="1" applyBorder="1" applyAlignment="1">
      <alignment vertical="center" wrapText="1"/>
    </xf>
    <xf numFmtId="0" fontId="0" fillId="0" borderId="1" xfId="0" applyBorder="1" applyAlignment="1">
      <alignment vertical="center" wrapText="1"/>
    </xf>
    <xf numFmtId="14" fontId="0" fillId="0" borderId="1" xfId="0" applyNumberFormat="1" applyBorder="1" applyAlignment="1">
      <alignment vertical="center" wrapText="1"/>
    </xf>
    <xf numFmtId="0" fontId="7" fillId="3" borderId="0" xfId="0" applyFont="1" applyFill="1" applyAlignment="1">
      <alignment horizontal="center" vertical="center" wrapText="1"/>
    </xf>
    <xf numFmtId="0" fontId="0" fillId="4" borderId="0" xfId="0" applyFill="1"/>
    <xf numFmtId="0" fontId="0" fillId="0" borderId="0" xfId="2" applyNumberFormat="1" applyFont="1"/>
    <xf numFmtId="0" fontId="0" fillId="0" borderId="0" xfId="2" pivotButton="1" applyNumberFormat="1" applyFont="1"/>
    <xf numFmtId="0" fontId="0" fillId="0" borderId="0" xfId="2" applyNumberFormat="1" applyFont="1" applyAlignment="1">
      <alignment horizontal="left"/>
    </xf>
    <xf numFmtId="42" fontId="0" fillId="0" borderId="0" xfId="0" applyNumberFormat="1"/>
    <xf numFmtId="42" fontId="0" fillId="0" borderId="0" xfId="3" applyNumberFormat="1" applyFont="1"/>
    <xf numFmtId="42" fontId="0" fillId="2" borderId="1" xfId="3" applyNumberFormat="1" applyFont="1" applyFill="1" applyBorder="1" applyAlignment="1">
      <alignment vertical="center" wrapText="1"/>
    </xf>
    <xf numFmtId="42" fontId="0" fillId="0" borderId="1" xfId="3" applyNumberFormat="1" applyFont="1" applyBorder="1" applyAlignment="1">
      <alignment vertical="center" wrapText="1"/>
    </xf>
    <xf numFmtId="2" fontId="0" fillId="0" borderId="0" xfId="2" applyNumberFormat="1" applyFont="1"/>
    <xf numFmtId="10" fontId="0" fillId="0" borderId="0" xfId="0" applyNumberFormat="1"/>
    <xf numFmtId="9" fontId="0" fillId="0" borderId="0" xfId="2" applyFont="1" applyAlignment="1">
      <alignment horizontal="center"/>
    </xf>
    <xf numFmtId="0" fontId="0" fillId="0" borderId="0" xfId="0" applyNumberFormat="1"/>
    <xf numFmtId="0" fontId="0" fillId="0" borderId="0" xfId="0" pivotButton="1" applyNumberFormat="1"/>
    <xf numFmtId="0" fontId="0" fillId="0" borderId="0" xfId="0" applyNumberFormat="1" applyAlignment="1">
      <alignment horizontal="left"/>
    </xf>
  </cellXfs>
  <cellStyles count="4">
    <cellStyle name="Currency" xfId="3" builtinId="4"/>
    <cellStyle name="Hyperlink" xfId="1" builtinId="8"/>
    <cellStyle name="Normal" xfId="0" builtinId="0"/>
    <cellStyle name="Percent" xfId="2" builtinId="5"/>
  </cellStyles>
  <dxfs count="559">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fill>
        <patternFill>
          <bgColor rgb="FF111214"/>
        </patternFill>
      </fill>
      <border diagonalUp="0" diagonalDown="0">
        <left/>
        <right/>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2" formatCode="_(&quot;$&quot;* #,##0_);_(&quot;$&quot;* \(#,##0\);_(&quot;$&quot;* &quot;-&quot;_);_(@_)"/>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1" indent="0" justifyLastLine="0" shrinkToFit="0" readingOrder="0"/>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right/>
        <top/>
        <bottom/>
        <vertical/>
        <horizontal/>
      </border>
    </dxf>
  </dxfs>
  <tableStyles count="4" defaultTableStyle="TableStyleMedium2" defaultPivotStyle="PivotStyleLight16">
    <tableStyle name="Slicer Style 1" pivot="0" table="0" count="0" xr9:uid="{35FDDFC6-F28E-4C72-8C16-54CCD3313357}"/>
    <tableStyle name="Slicer Style 2" pivot="0" table="0" count="0" xr9:uid="{52AB5D74-FE56-460F-B980-1E2423898355}"/>
    <tableStyle name="Slicer Style 3" pivot="0" table="0" count="1" xr9:uid="{54F9F45D-1CAF-4FF9-B189-614B55D32D90}">
      <tableStyleElement type="wholeTable" dxfId="558"/>
    </tableStyle>
    <tableStyle name="SlicerStyleLight1 2" pivot="0" table="0" count="10" xr9:uid="{96C3E827-EED0-4617-962E-C79827AB9EC7}">
      <tableStyleElement type="wholeTable" dxfId="478"/>
      <tableStyleElement type="headerRow" dxfId="477"/>
    </tableStyle>
  </tableStyles>
  <colors>
    <mruColors>
      <color rgb="FF6DBE02"/>
      <color rgb="FF94FC05"/>
      <color rgb="FF111214"/>
      <color rgb="FFCBD5E1"/>
      <color rgb="FF6CC512"/>
      <color rgb="FFB7FD5B"/>
      <color rgb="FF43750D"/>
      <color rgb="FF6BC606"/>
      <color rgb="FF50DD9A"/>
      <color rgb="FF3B82F6"/>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6DBE0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94FC0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4F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ANALYSIS!$A$4:$A$11</c:f>
              <c:strCache>
                <c:ptCount val="7"/>
                <c:pt idx="0">
                  <c:v>Cardiology</c:v>
                </c:pt>
                <c:pt idx="1">
                  <c:v>Geriatrics</c:v>
                </c:pt>
                <c:pt idx="2">
                  <c:v>Gynecology</c:v>
                </c:pt>
                <c:pt idx="3">
                  <c:v>Neurology</c:v>
                </c:pt>
                <c:pt idx="4">
                  <c:v>Oncology</c:v>
                </c:pt>
                <c:pt idx="5">
                  <c:v>Orthopedics</c:v>
                </c:pt>
                <c:pt idx="6">
                  <c:v>Pediatrics</c:v>
                </c:pt>
              </c:strCache>
            </c:strRef>
          </c:cat>
          <c:val>
            <c:numRef>
              <c:f>ANALYSIS!$B$4:$B$11</c:f>
              <c:numCache>
                <c:formatCode>General</c:formatCode>
                <c:ptCount val="7"/>
                <c:pt idx="0">
                  <c:v>6</c:v>
                </c:pt>
                <c:pt idx="1">
                  <c:v>7</c:v>
                </c:pt>
                <c:pt idx="2">
                  <c:v>2</c:v>
                </c:pt>
                <c:pt idx="3">
                  <c:v>4.5</c:v>
                </c:pt>
                <c:pt idx="4">
                  <c:v>15</c:v>
                </c:pt>
                <c:pt idx="5">
                  <c:v>4</c:v>
                </c:pt>
                <c:pt idx="6">
                  <c:v>6</c:v>
                </c:pt>
              </c:numCache>
            </c:numRef>
          </c:val>
          <c:extLst>
            <c:ext xmlns:c16="http://schemas.microsoft.com/office/drawing/2014/chart" uri="{C3380CC4-5D6E-409C-BE32-E72D297353CC}">
              <c16:uniqueId val="{00000000-4B91-4CDE-AC70-8A404E38FACB}"/>
            </c:ext>
          </c:extLst>
        </c:ser>
        <c:dLbls>
          <c:showLegendKey val="0"/>
          <c:showVal val="0"/>
          <c:showCatName val="0"/>
          <c:showSerName val="0"/>
          <c:showPercent val="0"/>
          <c:showBubbleSize val="0"/>
        </c:dLbls>
        <c:gapWidth val="182"/>
        <c:axId val="1821428320"/>
        <c:axId val="1821433120"/>
      </c:barChart>
      <c:catAx>
        <c:axId val="182142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433120"/>
        <c:crosses val="autoZero"/>
        <c:auto val="1"/>
        <c:lblAlgn val="ctr"/>
        <c:lblOffset val="100"/>
        <c:noMultiLvlLbl val="0"/>
      </c:catAx>
      <c:valAx>
        <c:axId val="1821433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42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4F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ANALYSIS!$J$3</c:f>
              <c:strCache>
                <c:ptCount val="1"/>
                <c:pt idx="0">
                  <c:v>Total</c:v>
                </c:pt>
              </c:strCache>
            </c:strRef>
          </c:tx>
          <c:spPr>
            <a:solidFill>
              <a:srgbClr val="1F4FD8"/>
            </a:solidFill>
            <a:ln>
              <a:noFill/>
            </a:ln>
            <a:effectLst/>
          </c:spPr>
          <c:invertIfNegative val="0"/>
          <c:cat>
            <c:strRef>
              <c:f>ANALYSIS!$I$4:$I$11</c:f>
              <c:strCache>
                <c:ptCount val="7"/>
                <c:pt idx="0">
                  <c:v>Cardiology</c:v>
                </c:pt>
                <c:pt idx="1">
                  <c:v>Geriatrics</c:v>
                </c:pt>
                <c:pt idx="2">
                  <c:v>Gynecology</c:v>
                </c:pt>
                <c:pt idx="3">
                  <c:v>Neurology</c:v>
                </c:pt>
                <c:pt idx="4">
                  <c:v>Oncology</c:v>
                </c:pt>
                <c:pt idx="5">
                  <c:v>Orthopedics</c:v>
                </c:pt>
                <c:pt idx="6">
                  <c:v>Pediatrics</c:v>
                </c:pt>
              </c:strCache>
            </c:strRef>
          </c:cat>
          <c:val>
            <c:numRef>
              <c:f>ANALYSIS!$J$4:$J$11</c:f>
              <c:numCache>
                <c:formatCode>General</c:formatCode>
                <c:ptCount val="7"/>
                <c:pt idx="0">
                  <c:v>4</c:v>
                </c:pt>
                <c:pt idx="1">
                  <c:v>1</c:v>
                </c:pt>
                <c:pt idx="2">
                  <c:v>1</c:v>
                </c:pt>
                <c:pt idx="3">
                  <c:v>4</c:v>
                </c:pt>
                <c:pt idx="4">
                  <c:v>1</c:v>
                </c:pt>
                <c:pt idx="5">
                  <c:v>3</c:v>
                </c:pt>
                <c:pt idx="6">
                  <c:v>1</c:v>
                </c:pt>
              </c:numCache>
            </c:numRef>
          </c:val>
          <c:extLst>
            <c:ext xmlns:c16="http://schemas.microsoft.com/office/drawing/2014/chart" uri="{C3380CC4-5D6E-409C-BE32-E72D297353CC}">
              <c16:uniqueId val="{00000000-6B08-4AC9-943A-4E9239403AEA}"/>
            </c:ext>
          </c:extLst>
        </c:ser>
        <c:dLbls>
          <c:showLegendKey val="0"/>
          <c:showVal val="0"/>
          <c:showCatName val="0"/>
          <c:showSerName val="0"/>
          <c:showPercent val="0"/>
          <c:showBubbleSize val="0"/>
        </c:dLbls>
        <c:gapWidth val="219"/>
        <c:overlap val="-27"/>
        <c:axId val="1582949775"/>
        <c:axId val="1582942095"/>
      </c:barChart>
      <c:catAx>
        <c:axId val="158294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42095"/>
        <c:crosses val="autoZero"/>
        <c:auto val="1"/>
        <c:lblAlgn val="ctr"/>
        <c:lblOffset val="100"/>
        <c:noMultiLvlLbl val="0"/>
      </c:catAx>
      <c:valAx>
        <c:axId val="1582942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4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4F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ANALYSIS!$J$15</c:f>
              <c:strCache>
                <c:ptCount val="1"/>
                <c:pt idx="0">
                  <c:v>Total</c:v>
                </c:pt>
              </c:strCache>
            </c:strRef>
          </c:tx>
          <c:spPr>
            <a:solidFill>
              <a:srgbClr val="1F4FD8"/>
            </a:solidFill>
            <a:ln>
              <a:noFill/>
            </a:ln>
            <a:effectLst/>
          </c:spPr>
          <c:invertIfNegative val="0"/>
          <c:cat>
            <c:strRef>
              <c:f>ANALYSIS!$I$16:$I$23</c:f>
              <c:strCache>
                <c:ptCount val="7"/>
                <c:pt idx="0">
                  <c:v>Cardiology</c:v>
                </c:pt>
                <c:pt idx="1">
                  <c:v>Geriatrics</c:v>
                </c:pt>
                <c:pt idx="2">
                  <c:v>Gynecology</c:v>
                </c:pt>
                <c:pt idx="3">
                  <c:v>Neurology</c:v>
                </c:pt>
                <c:pt idx="4">
                  <c:v>Oncology</c:v>
                </c:pt>
                <c:pt idx="5">
                  <c:v>Orthopedics</c:v>
                </c:pt>
                <c:pt idx="6">
                  <c:v>Pediatrics</c:v>
                </c:pt>
              </c:strCache>
            </c:strRef>
          </c:cat>
          <c:val>
            <c:numRef>
              <c:f>ANALYSIS!$J$16:$J$23</c:f>
              <c:numCache>
                <c:formatCode>General</c:formatCode>
                <c:ptCount val="7"/>
                <c:pt idx="0">
                  <c:v>6.75</c:v>
                </c:pt>
                <c:pt idx="1">
                  <c:v>5</c:v>
                </c:pt>
                <c:pt idx="2">
                  <c:v>10</c:v>
                </c:pt>
                <c:pt idx="3">
                  <c:v>8.75</c:v>
                </c:pt>
                <c:pt idx="4">
                  <c:v>6</c:v>
                </c:pt>
                <c:pt idx="5">
                  <c:v>8.3333333333333339</c:v>
                </c:pt>
                <c:pt idx="6">
                  <c:v>10</c:v>
                </c:pt>
              </c:numCache>
            </c:numRef>
          </c:val>
          <c:extLst>
            <c:ext xmlns:c16="http://schemas.microsoft.com/office/drawing/2014/chart" uri="{C3380CC4-5D6E-409C-BE32-E72D297353CC}">
              <c16:uniqueId val="{00000000-1F24-4858-B835-A917EB54E429}"/>
            </c:ext>
          </c:extLst>
        </c:ser>
        <c:dLbls>
          <c:showLegendKey val="0"/>
          <c:showVal val="0"/>
          <c:showCatName val="0"/>
          <c:showSerName val="0"/>
          <c:showPercent val="0"/>
          <c:showBubbleSize val="0"/>
        </c:dLbls>
        <c:gapWidth val="150"/>
        <c:overlap val="100"/>
        <c:axId val="1670634207"/>
        <c:axId val="1670642847"/>
      </c:barChart>
      <c:catAx>
        <c:axId val="167063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642847"/>
        <c:crosses val="autoZero"/>
        <c:auto val="1"/>
        <c:lblAlgn val="ctr"/>
        <c:lblOffset val="100"/>
        <c:noMultiLvlLbl val="0"/>
      </c:catAx>
      <c:valAx>
        <c:axId val="1670642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63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Overview Dataset (version 1). Okikiola Oyeniyi.xlsx]ANALYSIS!PivotTable4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109861267341583"/>
          <c:y val="0.15781969962088074"/>
          <c:w val="0.59004499437570301"/>
          <c:h val="0.6883858267716535"/>
        </c:manualLayout>
      </c:layout>
      <c:doughnutChart>
        <c:varyColors val="1"/>
        <c:ser>
          <c:idx val="0"/>
          <c:order val="0"/>
          <c:tx>
            <c:strRef>
              <c:f>ANALYSIS!$B$16</c:f>
              <c:strCache>
                <c:ptCount val="1"/>
                <c:pt idx="0">
                  <c:v>Total</c:v>
                </c:pt>
              </c:strCache>
            </c:strRef>
          </c:tx>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349-43C3-8D58-22AD3E1936DF}"/>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349-43C3-8D58-22AD3E1936D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ANALYSIS!$A$17:$A$19</c:f>
              <c:strCache>
                <c:ptCount val="2"/>
                <c:pt idx="0">
                  <c:v>No</c:v>
                </c:pt>
                <c:pt idx="1">
                  <c:v>Yes</c:v>
                </c:pt>
              </c:strCache>
            </c:strRef>
          </c:cat>
          <c:val>
            <c:numRef>
              <c:f>ANALYSIS!$B$17:$B$19</c:f>
              <c:numCache>
                <c:formatCode>General</c:formatCode>
                <c:ptCount val="2"/>
                <c:pt idx="0">
                  <c:v>11</c:v>
                </c:pt>
                <c:pt idx="1">
                  <c:v>4</c:v>
                </c:pt>
              </c:numCache>
            </c:numRef>
          </c:val>
          <c:extLst>
            <c:ext xmlns:c16="http://schemas.microsoft.com/office/drawing/2014/chart" uri="{C3380CC4-5D6E-409C-BE32-E72D297353CC}">
              <c16:uniqueId val="{00000004-5349-43C3-8D58-22AD3E1936D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Overview Dataset (version 1). Okikiola Oyeniyi.xlsx]ANALYSIS!PivotTable5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ANALYSIS!$B$23</c:f>
              <c:strCache>
                <c:ptCount val="1"/>
                <c:pt idx="0">
                  <c:v>Total</c:v>
                </c:pt>
              </c:strCache>
            </c:strRef>
          </c:tx>
          <c:dPt>
            <c:idx val="0"/>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C73-4655-974E-13BD0B79F72A}"/>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C73-4655-974E-13BD0B79F72A}"/>
              </c:ext>
            </c:extLst>
          </c:dPt>
          <c:dPt>
            <c:idx val="2"/>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C73-4655-974E-13BD0B79F7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ANALYSIS!$A$24:$A$27</c:f>
              <c:strCache>
                <c:ptCount val="3"/>
                <c:pt idx="0">
                  <c:v>Cash</c:v>
                </c:pt>
                <c:pt idx="1">
                  <c:v>Credit Card</c:v>
                </c:pt>
                <c:pt idx="2">
                  <c:v>Insurance</c:v>
                </c:pt>
              </c:strCache>
            </c:strRef>
          </c:cat>
          <c:val>
            <c:numRef>
              <c:f>ANALYSIS!$B$24:$B$27</c:f>
              <c:numCache>
                <c:formatCode>General</c:formatCode>
                <c:ptCount val="3"/>
                <c:pt idx="0">
                  <c:v>4</c:v>
                </c:pt>
                <c:pt idx="1">
                  <c:v>3</c:v>
                </c:pt>
                <c:pt idx="2">
                  <c:v>8</c:v>
                </c:pt>
              </c:numCache>
            </c:numRef>
          </c:val>
          <c:extLst>
            <c:ext xmlns:c16="http://schemas.microsoft.com/office/drawing/2014/chart" uri="{C3380CC4-5D6E-409C-BE32-E72D297353CC}">
              <c16:uniqueId val="{00000006-FC73-4655-974E-13BD0B79F72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4F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ANALYSIS!$M$3</c:f>
              <c:strCache>
                <c:ptCount val="1"/>
                <c:pt idx="0">
                  <c:v>Total</c:v>
                </c:pt>
              </c:strCache>
            </c:strRef>
          </c:tx>
          <c:spPr>
            <a:solidFill>
              <a:srgbClr val="1F4FD8"/>
            </a:solidFill>
            <a:ln>
              <a:noFill/>
            </a:ln>
            <a:effectLst/>
          </c:spPr>
          <c:invertIfNegative val="0"/>
          <c:cat>
            <c:strRef>
              <c:f>ANALYSIS!$L$4:$L$6</c:f>
              <c:strCache>
                <c:ptCount val="2"/>
                <c:pt idx="0">
                  <c:v>Insured</c:v>
                </c:pt>
                <c:pt idx="1">
                  <c:v>Not Insured</c:v>
                </c:pt>
              </c:strCache>
            </c:strRef>
          </c:cat>
          <c:val>
            <c:numRef>
              <c:f>ANALYSIS!$M$4:$M$6</c:f>
              <c:numCache>
                <c:formatCode>General</c:formatCode>
                <c:ptCount val="2"/>
                <c:pt idx="0">
                  <c:v>9012.5</c:v>
                </c:pt>
                <c:pt idx="1">
                  <c:v>678.57142857142856</c:v>
                </c:pt>
              </c:numCache>
            </c:numRef>
          </c:val>
          <c:extLst>
            <c:ext xmlns:c16="http://schemas.microsoft.com/office/drawing/2014/chart" uri="{C3380CC4-5D6E-409C-BE32-E72D297353CC}">
              <c16:uniqueId val="{00000000-A9A8-4245-ACA3-08A720FFA7BC}"/>
            </c:ext>
          </c:extLst>
        </c:ser>
        <c:dLbls>
          <c:showLegendKey val="0"/>
          <c:showVal val="0"/>
          <c:showCatName val="0"/>
          <c:showSerName val="0"/>
          <c:showPercent val="0"/>
          <c:showBubbleSize val="0"/>
        </c:dLbls>
        <c:gapWidth val="219"/>
        <c:overlap val="-27"/>
        <c:axId val="1987455984"/>
        <c:axId val="1987466544"/>
      </c:barChart>
      <c:catAx>
        <c:axId val="198745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466544"/>
        <c:crosses val="autoZero"/>
        <c:auto val="1"/>
        <c:lblAlgn val="ctr"/>
        <c:lblOffset val="100"/>
        <c:noMultiLvlLbl val="0"/>
      </c:catAx>
      <c:valAx>
        <c:axId val="198746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45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Oyeniyi.xlsx]ANALYSIS!PivotTable21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ANALYSIS!$E$18</c:f>
              <c:strCache>
                <c:ptCount val="1"/>
                <c:pt idx="0">
                  <c:v>Total</c:v>
                </c:pt>
              </c:strCache>
            </c:strRef>
          </c:tx>
          <c:spPr>
            <a:solidFill>
              <a:schemeClr val="accent1"/>
            </a:solidFill>
            <a:ln>
              <a:noFill/>
            </a:ln>
            <a:effectLst/>
          </c:spPr>
          <c:invertIfNegative val="0"/>
          <c:cat>
            <c:strRef>
              <c:f>ANALYSIS!$D$19:$D$26</c:f>
              <c:strCache>
                <c:ptCount val="7"/>
                <c:pt idx="0">
                  <c:v>18-27</c:v>
                </c:pt>
                <c:pt idx="1">
                  <c:v>28-37</c:v>
                </c:pt>
                <c:pt idx="2">
                  <c:v>38-47</c:v>
                </c:pt>
                <c:pt idx="3">
                  <c:v>48-57</c:v>
                </c:pt>
                <c:pt idx="4">
                  <c:v>58-67</c:v>
                </c:pt>
                <c:pt idx="5">
                  <c:v>68-77</c:v>
                </c:pt>
                <c:pt idx="6">
                  <c:v>78-87</c:v>
                </c:pt>
              </c:strCache>
            </c:strRef>
          </c:cat>
          <c:val>
            <c:numRef>
              <c:f>ANALYSIS!$E$19:$E$26</c:f>
              <c:numCache>
                <c:formatCode>General</c:formatCode>
                <c:ptCount val="7"/>
                <c:pt idx="0">
                  <c:v>2</c:v>
                </c:pt>
                <c:pt idx="1">
                  <c:v>4</c:v>
                </c:pt>
                <c:pt idx="2">
                  <c:v>2</c:v>
                </c:pt>
                <c:pt idx="3">
                  <c:v>3</c:v>
                </c:pt>
                <c:pt idx="4">
                  <c:v>2</c:v>
                </c:pt>
                <c:pt idx="5">
                  <c:v>1</c:v>
                </c:pt>
                <c:pt idx="6">
                  <c:v>1</c:v>
                </c:pt>
              </c:numCache>
            </c:numRef>
          </c:val>
          <c:extLst>
            <c:ext xmlns:c16="http://schemas.microsoft.com/office/drawing/2014/chart" uri="{C3380CC4-5D6E-409C-BE32-E72D297353CC}">
              <c16:uniqueId val="{00000000-1AA6-46F8-8682-1BB035D406CF}"/>
            </c:ext>
          </c:extLst>
        </c:ser>
        <c:dLbls>
          <c:showLegendKey val="0"/>
          <c:showVal val="0"/>
          <c:showCatName val="0"/>
          <c:showSerName val="0"/>
          <c:showPercent val="0"/>
          <c:showBubbleSize val="0"/>
        </c:dLbls>
        <c:gapWidth val="150"/>
        <c:overlap val="100"/>
        <c:axId val="1582952655"/>
        <c:axId val="1582944495"/>
      </c:barChart>
      <c:catAx>
        <c:axId val="158295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44495"/>
        <c:crosses val="autoZero"/>
        <c:auto val="1"/>
        <c:lblAlgn val="ctr"/>
        <c:lblOffset val="100"/>
        <c:noMultiLvlLbl val="0"/>
      </c:catAx>
      <c:valAx>
        <c:axId val="1582944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Oyeniyi.xlsx]ANALYSIS!PivotTable2</c:name>
    <c:fmtId val="30"/>
  </c:pivotSource>
  <c:chart>
    <c:autoTitleDeleted val="1"/>
    <c:pivotFmts>
      <c:pivotFmt>
        <c:idx val="0"/>
        <c:spPr>
          <a:solidFill>
            <a:srgbClr val="6CC5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CC5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92228054826479"/>
          <c:y val="8.6261348478981117E-3"/>
          <c:w val="0.71907771945173515"/>
          <c:h val="0.97814207650273222"/>
        </c:manualLayout>
      </c:layout>
      <c:barChart>
        <c:barDir val="bar"/>
        <c:grouping val="clustered"/>
        <c:varyColors val="0"/>
        <c:ser>
          <c:idx val="0"/>
          <c:order val="0"/>
          <c:tx>
            <c:strRef>
              <c:f>ANALYSIS!$B$3</c:f>
              <c:strCache>
                <c:ptCount val="1"/>
                <c:pt idx="0">
                  <c:v>Total</c:v>
                </c:pt>
              </c:strCache>
            </c:strRef>
          </c:tx>
          <c:spPr>
            <a:solidFill>
              <a:schemeClr val="accent5">
                <a:lumMod val="75000"/>
              </a:schemeClr>
            </a:solidFill>
            <a:ln>
              <a:noFill/>
            </a:ln>
            <a:effectLst/>
          </c:spPr>
          <c:invertIfNegative val="0"/>
          <c:cat>
            <c:strRef>
              <c:f>ANALYSIS!$A$4:$A$11</c:f>
              <c:strCache>
                <c:ptCount val="7"/>
                <c:pt idx="0">
                  <c:v>Cardiology</c:v>
                </c:pt>
                <c:pt idx="1">
                  <c:v>Geriatrics</c:v>
                </c:pt>
                <c:pt idx="2">
                  <c:v>Gynecology</c:v>
                </c:pt>
                <c:pt idx="3">
                  <c:v>Neurology</c:v>
                </c:pt>
                <c:pt idx="4">
                  <c:v>Oncology</c:v>
                </c:pt>
                <c:pt idx="5">
                  <c:v>Orthopedics</c:v>
                </c:pt>
                <c:pt idx="6">
                  <c:v>Pediatrics</c:v>
                </c:pt>
              </c:strCache>
            </c:strRef>
          </c:cat>
          <c:val>
            <c:numRef>
              <c:f>ANALYSIS!$B$4:$B$11</c:f>
              <c:numCache>
                <c:formatCode>General</c:formatCode>
                <c:ptCount val="7"/>
                <c:pt idx="0">
                  <c:v>6</c:v>
                </c:pt>
                <c:pt idx="1">
                  <c:v>7</c:v>
                </c:pt>
                <c:pt idx="2">
                  <c:v>2</c:v>
                </c:pt>
                <c:pt idx="3">
                  <c:v>4.5</c:v>
                </c:pt>
                <c:pt idx="4">
                  <c:v>15</c:v>
                </c:pt>
                <c:pt idx="5">
                  <c:v>4</c:v>
                </c:pt>
                <c:pt idx="6">
                  <c:v>6</c:v>
                </c:pt>
              </c:numCache>
            </c:numRef>
          </c:val>
          <c:extLst>
            <c:ext xmlns:c16="http://schemas.microsoft.com/office/drawing/2014/chart" uri="{C3380CC4-5D6E-409C-BE32-E72D297353CC}">
              <c16:uniqueId val="{00000000-0510-468E-A334-49F2D73D7F49}"/>
            </c:ext>
          </c:extLst>
        </c:ser>
        <c:dLbls>
          <c:showLegendKey val="0"/>
          <c:showVal val="0"/>
          <c:showCatName val="0"/>
          <c:showSerName val="0"/>
          <c:showPercent val="0"/>
          <c:showBubbleSize val="0"/>
        </c:dLbls>
        <c:gapWidth val="182"/>
        <c:axId val="1270373936"/>
        <c:axId val="1270374416"/>
      </c:barChart>
      <c:catAx>
        <c:axId val="127037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BD5E1"/>
                </a:solidFill>
                <a:latin typeface="+mn-lt"/>
                <a:ea typeface="+mn-ea"/>
                <a:cs typeface="+mn-cs"/>
              </a:defRPr>
            </a:pPr>
            <a:endParaRPr lang="en-US"/>
          </a:p>
        </c:txPr>
        <c:crossAx val="1270374416"/>
        <c:crosses val="autoZero"/>
        <c:auto val="1"/>
        <c:lblAlgn val="ctr"/>
        <c:lblOffset val="100"/>
        <c:noMultiLvlLbl val="0"/>
      </c:catAx>
      <c:valAx>
        <c:axId val="1270374416"/>
        <c:scaling>
          <c:orientation val="minMax"/>
        </c:scaling>
        <c:delete val="1"/>
        <c:axPos val="b"/>
        <c:numFmt formatCode="General" sourceLinked="1"/>
        <c:majorTickMark val="none"/>
        <c:minorTickMark val="none"/>
        <c:tickLblPos val="nextTo"/>
        <c:crossAx val="127037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Oyeniyi.xlsx]ANALYSIS!PivotTable14</c:name>
    <c:fmtId val="34"/>
  </c:pivotSource>
  <c:chart>
    <c:autoTitleDeleted val="1"/>
    <c:pivotFmts>
      <c:pivotFmt>
        <c:idx val="0"/>
        <c:spPr>
          <a:solidFill>
            <a:srgbClr val="6CC5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CC5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CC5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CC5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CC5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CC5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CC5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CC5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CC5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CC5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CC5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CC5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CC5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CC5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lumMod val="75000"/>
            </a:schemeClr>
          </a:solidFill>
          <a:ln>
            <a:noFill/>
          </a:ln>
          <a:effectLst/>
        </c:spPr>
        <c:dLbl>
          <c:idx val="0"/>
          <c:layout>
            <c:manualLayout>
              <c:x val="0.18271666202496384"/>
              <c:y val="2.8374831524437823E-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457646572313509"/>
                  <c:h val="0.10079307654110801"/>
                </c:manualLayout>
              </c15:layout>
            </c:ext>
          </c:extLst>
        </c:dLbl>
      </c:pivotFmt>
    </c:pivotFmts>
    <c:plotArea>
      <c:layout>
        <c:manualLayout>
          <c:layoutTarget val="inner"/>
          <c:xMode val="edge"/>
          <c:yMode val="edge"/>
          <c:x val="0.26014667780675327"/>
          <c:y val="7.2072072072072073E-3"/>
          <c:w val="0.70984260407963473"/>
          <c:h val="0.99279279279279276"/>
        </c:manualLayout>
      </c:layout>
      <c:barChart>
        <c:barDir val="bar"/>
        <c:grouping val="stacked"/>
        <c:varyColors val="0"/>
        <c:ser>
          <c:idx val="0"/>
          <c:order val="0"/>
          <c:tx>
            <c:strRef>
              <c:f>ANALYSIS!$E$3</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0-AC2D-4D71-A8E9-B5D92163EFB9}"/>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AC2D-4D71-A8E9-B5D92163EFB9}"/>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2-AC2D-4D71-A8E9-B5D92163EFB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AC2D-4D71-A8E9-B5D92163EFB9}"/>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4-AC2D-4D71-A8E9-B5D92163EFB9}"/>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5-AC2D-4D71-A8E9-B5D92163EFB9}"/>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7-AC2D-4D71-A8E9-B5D92163EFB9}"/>
              </c:ext>
            </c:extLst>
          </c:dPt>
          <c:dLbls>
            <c:dLbl>
              <c:idx val="0"/>
              <c:delete val="1"/>
              <c:extLst>
                <c:ext xmlns:c15="http://schemas.microsoft.com/office/drawing/2012/chart" uri="{CE6537A1-D6FC-4f65-9D91-7224C49458BB}"/>
                <c:ext xmlns:c16="http://schemas.microsoft.com/office/drawing/2014/chart" uri="{C3380CC4-5D6E-409C-BE32-E72D297353CC}">
                  <c16:uniqueId val="{00000000-AC2D-4D71-A8E9-B5D92163EFB9}"/>
                </c:ext>
              </c:extLst>
            </c:dLbl>
            <c:dLbl>
              <c:idx val="1"/>
              <c:delete val="1"/>
              <c:extLst>
                <c:ext xmlns:c15="http://schemas.microsoft.com/office/drawing/2012/chart" uri="{CE6537A1-D6FC-4f65-9D91-7224C49458BB}"/>
                <c:ext xmlns:c16="http://schemas.microsoft.com/office/drawing/2014/chart" uri="{C3380CC4-5D6E-409C-BE32-E72D297353CC}">
                  <c16:uniqueId val="{00000001-AC2D-4D71-A8E9-B5D92163EFB9}"/>
                </c:ext>
              </c:extLst>
            </c:dLbl>
            <c:dLbl>
              <c:idx val="2"/>
              <c:delete val="1"/>
              <c:extLst>
                <c:ext xmlns:c15="http://schemas.microsoft.com/office/drawing/2012/chart" uri="{CE6537A1-D6FC-4f65-9D91-7224C49458BB}"/>
                <c:ext xmlns:c16="http://schemas.microsoft.com/office/drawing/2014/chart" uri="{C3380CC4-5D6E-409C-BE32-E72D297353CC}">
                  <c16:uniqueId val="{00000002-AC2D-4D71-A8E9-B5D92163EFB9}"/>
                </c:ext>
              </c:extLst>
            </c:dLbl>
            <c:dLbl>
              <c:idx val="3"/>
              <c:delete val="1"/>
              <c:extLst>
                <c:ext xmlns:c15="http://schemas.microsoft.com/office/drawing/2012/chart" uri="{CE6537A1-D6FC-4f65-9D91-7224C49458BB}"/>
                <c:ext xmlns:c16="http://schemas.microsoft.com/office/drawing/2014/chart" uri="{C3380CC4-5D6E-409C-BE32-E72D297353CC}">
                  <c16:uniqueId val="{00000003-AC2D-4D71-A8E9-B5D92163EFB9}"/>
                </c:ext>
              </c:extLst>
            </c:dLbl>
            <c:dLbl>
              <c:idx val="4"/>
              <c:delete val="1"/>
              <c:extLst>
                <c:ext xmlns:c15="http://schemas.microsoft.com/office/drawing/2012/chart" uri="{CE6537A1-D6FC-4f65-9D91-7224C49458BB}"/>
                <c:ext xmlns:c16="http://schemas.microsoft.com/office/drawing/2014/chart" uri="{C3380CC4-5D6E-409C-BE32-E72D297353CC}">
                  <c16:uniqueId val="{00000004-AC2D-4D71-A8E9-B5D92163EFB9}"/>
                </c:ext>
              </c:extLst>
            </c:dLbl>
            <c:dLbl>
              <c:idx val="5"/>
              <c:delete val="1"/>
              <c:extLst>
                <c:ext xmlns:c15="http://schemas.microsoft.com/office/drawing/2012/chart" uri="{CE6537A1-D6FC-4f65-9D91-7224C49458BB}"/>
                <c:ext xmlns:c16="http://schemas.microsoft.com/office/drawing/2014/chart" uri="{C3380CC4-5D6E-409C-BE32-E72D297353CC}">
                  <c16:uniqueId val="{00000005-AC2D-4D71-A8E9-B5D92163EFB9}"/>
                </c:ext>
              </c:extLst>
            </c:dLbl>
            <c:dLbl>
              <c:idx val="6"/>
              <c:layout>
                <c:manualLayout>
                  <c:x val="0.18271666202496384"/>
                  <c:y val="2.8374831524437823E-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457646572313509"/>
                      <c:h val="0.10079307654110801"/>
                    </c:manualLayout>
                  </c15:layout>
                </c:ext>
                <c:ext xmlns:c16="http://schemas.microsoft.com/office/drawing/2014/chart" uri="{C3380CC4-5D6E-409C-BE32-E72D297353CC}">
                  <c16:uniqueId val="{00000007-AC2D-4D71-A8E9-B5D92163EFB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ANALYSIS!$D$4:$D$11</c:f>
              <c:strCache>
                <c:ptCount val="7"/>
                <c:pt idx="0">
                  <c:v>Gynecology</c:v>
                </c:pt>
                <c:pt idx="1">
                  <c:v>Pediatrics</c:v>
                </c:pt>
                <c:pt idx="2">
                  <c:v>Geriatrics</c:v>
                </c:pt>
                <c:pt idx="3">
                  <c:v>Orthopedics</c:v>
                </c:pt>
                <c:pt idx="4">
                  <c:v>Neurology</c:v>
                </c:pt>
                <c:pt idx="5">
                  <c:v>Oncology</c:v>
                </c:pt>
                <c:pt idx="6">
                  <c:v>Cardiology</c:v>
                </c:pt>
              </c:strCache>
            </c:strRef>
          </c:cat>
          <c:val>
            <c:numRef>
              <c:f>ANALYSIS!$E$4:$E$11</c:f>
              <c:numCache>
                <c:formatCode>_("$"* #,##0_);_("$"* \(#,##0\);_("$"* "-"_);_(@_)</c:formatCode>
                <c:ptCount val="7"/>
                <c:pt idx="0">
                  <c:v>300</c:v>
                </c:pt>
                <c:pt idx="1">
                  <c:v>1100</c:v>
                </c:pt>
                <c:pt idx="2">
                  <c:v>3000</c:v>
                </c:pt>
                <c:pt idx="3">
                  <c:v>6350</c:v>
                </c:pt>
                <c:pt idx="4">
                  <c:v>14000</c:v>
                </c:pt>
                <c:pt idx="5">
                  <c:v>25000</c:v>
                </c:pt>
                <c:pt idx="6">
                  <c:v>27100</c:v>
                </c:pt>
              </c:numCache>
            </c:numRef>
          </c:val>
          <c:extLst>
            <c:ext xmlns:c16="http://schemas.microsoft.com/office/drawing/2014/chart" uri="{C3380CC4-5D6E-409C-BE32-E72D297353CC}">
              <c16:uniqueId val="{00000006-AC2D-4D71-A8E9-B5D92163EFB9}"/>
            </c:ext>
          </c:extLst>
        </c:ser>
        <c:dLbls>
          <c:dLblPos val="inEnd"/>
          <c:showLegendKey val="0"/>
          <c:showVal val="1"/>
          <c:showCatName val="0"/>
          <c:showSerName val="0"/>
          <c:showPercent val="0"/>
          <c:showBubbleSize val="0"/>
        </c:dLbls>
        <c:gapWidth val="150"/>
        <c:overlap val="100"/>
        <c:axId val="1270272176"/>
        <c:axId val="1270268816"/>
      </c:barChart>
      <c:catAx>
        <c:axId val="1270272176"/>
        <c:scaling>
          <c:orientation val="minMax"/>
        </c:scaling>
        <c:delete val="0"/>
        <c:axPos val="l"/>
        <c:numFmt formatCode="General" sourceLinked="1"/>
        <c:majorTickMark val="none"/>
        <c:minorTickMark val="none"/>
        <c:tickLblPos val="nextTo"/>
        <c:spPr>
          <a:noFill/>
          <a:ln w="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BD5E1"/>
                </a:solidFill>
                <a:latin typeface="+mn-lt"/>
                <a:ea typeface="+mn-ea"/>
                <a:cs typeface="+mn-cs"/>
              </a:defRPr>
            </a:pPr>
            <a:endParaRPr lang="en-US"/>
          </a:p>
        </c:txPr>
        <c:crossAx val="1270268816"/>
        <c:crosses val="autoZero"/>
        <c:auto val="1"/>
        <c:lblAlgn val="ctr"/>
        <c:lblOffset val="100"/>
        <c:noMultiLvlLbl val="0"/>
      </c:catAx>
      <c:valAx>
        <c:axId val="1270268816"/>
        <c:scaling>
          <c:orientation val="minMax"/>
        </c:scaling>
        <c:delete val="1"/>
        <c:axPos val="b"/>
        <c:numFmt formatCode="_(&quot;$&quot;* #,##0_);_(&quot;$&quot;* \(#,##0\);_(&quot;$&quot;* &quot;-&quot;_);_(@_)" sourceLinked="1"/>
        <c:majorTickMark val="none"/>
        <c:minorTickMark val="none"/>
        <c:tickLblPos val="nextTo"/>
        <c:crossAx val="127027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Oyeniyi.xlsx]ANALYSIS!PivotTable16</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375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70469983532922"/>
          <c:y val="3.0181190427007409E-2"/>
          <c:w val="0.74626925125764865"/>
          <c:h val="0.92792788702724671"/>
        </c:manualLayout>
      </c:layout>
      <c:barChart>
        <c:barDir val="bar"/>
        <c:grouping val="stacked"/>
        <c:varyColors val="0"/>
        <c:ser>
          <c:idx val="0"/>
          <c:order val="0"/>
          <c:tx>
            <c:strRef>
              <c:f>ANALYSIS!$E$38:$E$39</c:f>
              <c:strCache>
                <c:ptCount val="1"/>
                <c:pt idx="0">
                  <c:v>No</c:v>
                </c:pt>
              </c:strCache>
            </c:strRef>
          </c:tx>
          <c:spPr>
            <a:solidFill>
              <a:srgbClr val="43750D"/>
            </a:solidFill>
            <a:ln>
              <a:noFill/>
            </a:ln>
            <a:effectLst/>
          </c:spPr>
          <c:invertIfNegative val="0"/>
          <c:cat>
            <c:strRef>
              <c:f>ANALYSIS!$D$40:$D$53</c:f>
              <c:strCache>
                <c:ptCount val="13"/>
                <c:pt idx="0">
                  <c:v>Angina</c:v>
                </c:pt>
                <c:pt idx="1">
                  <c:v>Arrhythmia</c:v>
                </c:pt>
                <c:pt idx="2">
                  <c:v>Asthma</c:v>
                </c:pt>
                <c:pt idx="3">
                  <c:v>Cancer</c:v>
                </c:pt>
                <c:pt idx="4">
                  <c:v>Dislocation</c:v>
                </c:pt>
                <c:pt idx="5">
                  <c:v>Epilepsy</c:v>
                </c:pt>
                <c:pt idx="6">
                  <c:v>Fracture</c:v>
                </c:pt>
                <c:pt idx="7">
                  <c:v>Heart Attack</c:v>
                </c:pt>
                <c:pt idx="8">
                  <c:v>Hypertension</c:v>
                </c:pt>
                <c:pt idx="9">
                  <c:v>Migraine</c:v>
                </c:pt>
                <c:pt idx="10">
                  <c:v>Pneumonia</c:v>
                </c:pt>
                <c:pt idx="11">
                  <c:v>Pregnancy</c:v>
                </c:pt>
                <c:pt idx="12">
                  <c:v>Stroke</c:v>
                </c:pt>
              </c:strCache>
            </c:strRef>
          </c:cat>
          <c:val>
            <c:numRef>
              <c:f>ANALYSIS!$E$40:$E$53</c:f>
              <c:numCache>
                <c:formatCode>General</c:formatCode>
                <c:ptCount val="13"/>
                <c:pt idx="0">
                  <c:v>1</c:v>
                </c:pt>
                <c:pt idx="1">
                  <c:v>1</c:v>
                </c:pt>
                <c:pt idx="2">
                  <c:v>1</c:v>
                </c:pt>
                <c:pt idx="4">
                  <c:v>1</c:v>
                </c:pt>
                <c:pt idx="5">
                  <c:v>1</c:v>
                </c:pt>
                <c:pt idx="6">
                  <c:v>2</c:v>
                </c:pt>
                <c:pt idx="7">
                  <c:v>1</c:v>
                </c:pt>
                <c:pt idx="9">
                  <c:v>2</c:v>
                </c:pt>
                <c:pt idx="11">
                  <c:v>1</c:v>
                </c:pt>
              </c:numCache>
            </c:numRef>
          </c:val>
          <c:extLst>
            <c:ext xmlns:c16="http://schemas.microsoft.com/office/drawing/2014/chart" uri="{C3380CC4-5D6E-409C-BE32-E72D297353CC}">
              <c16:uniqueId val="{00000000-1104-4B48-95E8-87EF94985358}"/>
            </c:ext>
          </c:extLst>
        </c:ser>
        <c:ser>
          <c:idx val="1"/>
          <c:order val="1"/>
          <c:tx>
            <c:strRef>
              <c:f>ANALYSIS!$F$38:$F$39</c:f>
              <c:strCache>
                <c:ptCount val="1"/>
                <c:pt idx="0">
                  <c:v>Yes</c:v>
                </c:pt>
              </c:strCache>
            </c:strRef>
          </c:tx>
          <c:spPr>
            <a:solidFill>
              <a:schemeClr val="accent5">
                <a:lumMod val="75000"/>
              </a:schemeClr>
            </a:solidFill>
            <a:ln>
              <a:noFill/>
            </a:ln>
            <a:effectLst/>
          </c:spPr>
          <c:invertIfNegative val="0"/>
          <c:cat>
            <c:strRef>
              <c:f>ANALYSIS!$D$40:$D$53</c:f>
              <c:strCache>
                <c:ptCount val="13"/>
                <c:pt idx="0">
                  <c:v>Angina</c:v>
                </c:pt>
                <c:pt idx="1">
                  <c:v>Arrhythmia</c:v>
                </c:pt>
                <c:pt idx="2">
                  <c:v>Asthma</c:v>
                </c:pt>
                <c:pt idx="3">
                  <c:v>Cancer</c:v>
                </c:pt>
                <c:pt idx="4">
                  <c:v>Dislocation</c:v>
                </c:pt>
                <c:pt idx="5">
                  <c:v>Epilepsy</c:v>
                </c:pt>
                <c:pt idx="6">
                  <c:v>Fracture</c:v>
                </c:pt>
                <c:pt idx="7">
                  <c:v>Heart Attack</c:v>
                </c:pt>
                <c:pt idx="8">
                  <c:v>Hypertension</c:v>
                </c:pt>
                <c:pt idx="9">
                  <c:v>Migraine</c:v>
                </c:pt>
                <c:pt idx="10">
                  <c:v>Pneumonia</c:v>
                </c:pt>
                <c:pt idx="11">
                  <c:v>Pregnancy</c:v>
                </c:pt>
                <c:pt idx="12">
                  <c:v>Stroke</c:v>
                </c:pt>
              </c:strCache>
            </c:strRef>
          </c:cat>
          <c:val>
            <c:numRef>
              <c:f>ANALYSIS!$F$40:$F$53</c:f>
              <c:numCache>
                <c:formatCode>General</c:formatCode>
                <c:ptCount val="13"/>
                <c:pt idx="3">
                  <c:v>1</c:v>
                </c:pt>
                <c:pt idx="8">
                  <c:v>1</c:v>
                </c:pt>
                <c:pt idx="10">
                  <c:v>1</c:v>
                </c:pt>
                <c:pt idx="12">
                  <c:v>1</c:v>
                </c:pt>
              </c:numCache>
            </c:numRef>
          </c:val>
          <c:extLst>
            <c:ext xmlns:c16="http://schemas.microsoft.com/office/drawing/2014/chart" uri="{C3380CC4-5D6E-409C-BE32-E72D297353CC}">
              <c16:uniqueId val="{00000002-20BD-47CB-9045-2D3FEFB12507}"/>
            </c:ext>
          </c:extLst>
        </c:ser>
        <c:dLbls>
          <c:showLegendKey val="0"/>
          <c:showVal val="0"/>
          <c:showCatName val="0"/>
          <c:showSerName val="0"/>
          <c:showPercent val="0"/>
          <c:showBubbleSize val="0"/>
        </c:dLbls>
        <c:gapWidth val="150"/>
        <c:overlap val="100"/>
        <c:axId val="1264771632"/>
        <c:axId val="1264772112"/>
      </c:barChart>
      <c:catAx>
        <c:axId val="126477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CBD5E1"/>
                </a:solidFill>
                <a:latin typeface="+mn-lt"/>
                <a:ea typeface="+mn-ea"/>
                <a:cs typeface="+mn-cs"/>
              </a:defRPr>
            </a:pPr>
            <a:endParaRPr lang="en-US"/>
          </a:p>
        </c:txPr>
        <c:crossAx val="1264772112"/>
        <c:crosses val="autoZero"/>
        <c:auto val="1"/>
        <c:lblAlgn val="ctr"/>
        <c:lblOffset val="100"/>
        <c:noMultiLvlLbl val="0"/>
      </c:catAx>
      <c:valAx>
        <c:axId val="1264772112"/>
        <c:scaling>
          <c:orientation val="minMax"/>
        </c:scaling>
        <c:delete val="1"/>
        <c:axPos val="b"/>
        <c:numFmt formatCode="General" sourceLinked="1"/>
        <c:majorTickMark val="none"/>
        <c:minorTickMark val="none"/>
        <c:tickLblPos val="nextTo"/>
        <c:crossAx val="126477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Oyeniyi.xlsx]ANALYSIS!PivotTable17</c:name>
    <c:fmtId val="3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noFill/>
          </a:ln>
          <a:effectLst/>
        </c:spPr>
      </c:pivotFmt>
      <c:pivotFmt>
        <c:idx val="7"/>
        <c:spPr>
          <a:solidFill>
            <a:schemeClr val="accent2"/>
          </a:solidFill>
          <a:ln w="19050">
            <a:noFill/>
          </a:ln>
          <a:effectLst/>
        </c:spPr>
      </c:pivotFmt>
      <c:pivotFmt>
        <c:idx val="8"/>
        <c:spPr>
          <a:solidFill>
            <a:schemeClr val="accent5">
              <a:lumMod val="75000"/>
            </a:schemeClr>
          </a:solidFill>
          <a:ln w="19050">
            <a:noFill/>
          </a:ln>
          <a:effectLst/>
        </c:spPr>
      </c:pivotFmt>
    </c:pivotFmts>
    <c:plotArea>
      <c:layout>
        <c:manualLayout>
          <c:layoutTarget val="inner"/>
          <c:xMode val="edge"/>
          <c:yMode val="edge"/>
          <c:x val="6.0440444944381951E-2"/>
          <c:y val="8.8643404868509079E-2"/>
          <c:w val="0.55396875390576183"/>
          <c:h val="0.85539292882507334"/>
        </c:manualLayout>
      </c:layout>
      <c:doughnutChart>
        <c:varyColors val="1"/>
        <c:ser>
          <c:idx val="0"/>
          <c:order val="0"/>
          <c:tx>
            <c:strRef>
              <c:f>ANALYSIS!$K$38</c:f>
              <c:strCache>
                <c:ptCount val="1"/>
                <c:pt idx="0">
                  <c:v>Total</c:v>
                </c:pt>
              </c:strCache>
            </c:strRef>
          </c:tx>
          <c:spPr>
            <a:ln>
              <a:noFill/>
            </a:ln>
          </c:spPr>
          <c:dPt>
            <c:idx val="0"/>
            <c:bubble3D val="0"/>
            <c:spPr>
              <a:solidFill>
                <a:schemeClr val="accent2"/>
              </a:solidFill>
              <a:ln w="19050">
                <a:noFill/>
              </a:ln>
              <a:effectLst/>
            </c:spPr>
            <c:extLst>
              <c:ext xmlns:c16="http://schemas.microsoft.com/office/drawing/2014/chart" uri="{C3380CC4-5D6E-409C-BE32-E72D297353CC}">
                <c16:uniqueId val="{00000001-FA18-4ED7-8F01-53BCE2688652}"/>
              </c:ext>
            </c:extLst>
          </c:dPt>
          <c:dPt>
            <c:idx val="1"/>
            <c:bubble3D val="0"/>
            <c:spPr>
              <a:solidFill>
                <a:schemeClr val="accent4"/>
              </a:solidFill>
              <a:ln w="19050">
                <a:noFill/>
              </a:ln>
              <a:effectLst/>
            </c:spPr>
            <c:extLst>
              <c:ext xmlns:c16="http://schemas.microsoft.com/office/drawing/2014/chart" uri="{C3380CC4-5D6E-409C-BE32-E72D297353CC}">
                <c16:uniqueId val="{00000003-FA18-4ED7-8F01-53BCE2688652}"/>
              </c:ext>
            </c:extLst>
          </c:dPt>
          <c:dPt>
            <c:idx val="2"/>
            <c:bubble3D val="0"/>
            <c:spPr>
              <a:solidFill>
                <a:schemeClr val="accent5">
                  <a:lumMod val="75000"/>
                </a:schemeClr>
              </a:solidFill>
              <a:ln w="19050">
                <a:noFill/>
              </a:ln>
              <a:effectLst/>
            </c:spPr>
            <c:extLst>
              <c:ext xmlns:c16="http://schemas.microsoft.com/office/drawing/2014/chart" uri="{C3380CC4-5D6E-409C-BE32-E72D297353CC}">
                <c16:uniqueId val="{00000005-FA18-4ED7-8F01-53BCE26886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ANALYSIS!$J$39:$J$42</c:f>
              <c:strCache>
                <c:ptCount val="3"/>
                <c:pt idx="0">
                  <c:v>Cash</c:v>
                </c:pt>
                <c:pt idx="1">
                  <c:v>Credit Card</c:v>
                </c:pt>
                <c:pt idx="2">
                  <c:v>Insurance</c:v>
                </c:pt>
              </c:strCache>
            </c:strRef>
          </c:cat>
          <c:val>
            <c:numRef>
              <c:f>ANALYSIS!$K$39:$K$42</c:f>
              <c:numCache>
                <c:formatCode>_("$"* #,##0_);_("$"* \(#,##0\);_("$"* "-"_);_(@_)</c:formatCode>
                <c:ptCount val="3"/>
                <c:pt idx="0">
                  <c:v>3100</c:v>
                </c:pt>
                <c:pt idx="1">
                  <c:v>1650</c:v>
                </c:pt>
                <c:pt idx="2">
                  <c:v>72100</c:v>
                </c:pt>
              </c:numCache>
            </c:numRef>
          </c:val>
          <c:extLst>
            <c:ext xmlns:c16="http://schemas.microsoft.com/office/drawing/2014/chart" uri="{C3380CC4-5D6E-409C-BE32-E72D297353CC}">
              <c16:uniqueId val="{00000006-FA18-4ED7-8F01-53BCE2688652}"/>
            </c:ext>
          </c:extLst>
        </c:ser>
        <c:dLbls>
          <c:showLegendKey val="0"/>
          <c:showVal val="1"/>
          <c:showCatName val="0"/>
          <c:showSerName val="0"/>
          <c:showPercent val="0"/>
          <c:showBubbleSize val="0"/>
          <c:showLeaderLines val="1"/>
        </c:dLbls>
        <c:firstSliceAng val="0"/>
        <c:holeSize val="7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CBD5E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Oyeniyi.xlsx]ANALYSIS!PivotTable6</c:name>
    <c:fmtId val="10"/>
  </c:pivotSource>
  <c:chart>
    <c:autoTitleDeleted val="1"/>
    <c:pivotFmts>
      <c:pivotFmt>
        <c:idx val="0"/>
        <c:spPr>
          <a:solidFill>
            <a:srgbClr val="6CC5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CC5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75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s>
    <c:plotArea>
      <c:layout>
        <c:manualLayout>
          <c:layoutTarget val="inner"/>
          <c:xMode val="edge"/>
          <c:yMode val="edge"/>
          <c:x val="7.6528215223097107E-2"/>
          <c:y val="1.9512195121951219E-2"/>
          <c:w val="0.92347178477690284"/>
          <c:h val="0.63975571346264648"/>
        </c:manualLayout>
      </c:layout>
      <c:barChart>
        <c:barDir val="col"/>
        <c:grouping val="clustered"/>
        <c:varyColors val="0"/>
        <c:ser>
          <c:idx val="0"/>
          <c:order val="0"/>
          <c:tx>
            <c:strRef>
              <c:f>ANALYSIS!$J$15</c:f>
              <c:strCache>
                <c:ptCount val="1"/>
                <c:pt idx="0">
                  <c:v>Total</c:v>
                </c:pt>
              </c:strCache>
            </c:strRef>
          </c:tx>
          <c:spPr>
            <a:solidFill>
              <a:schemeClr val="accent5">
                <a:lumMod val="75000"/>
              </a:schemeClr>
            </a:solidFill>
            <a:ln>
              <a:noFill/>
            </a:ln>
            <a:effectLst/>
          </c:spPr>
          <c:invertIfNegative val="0"/>
          <c:cat>
            <c:strRef>
              <c:f>ANALYSIS!$I$16:$I$23</c:f>
              <c:strCache>
                <c:ptCount val="7"/>
                <c:pt idx="0">
                  <c:v>Cardiology</c:v>
                </c:pt>
                <c:pt idx="1">
                  <c:v>Geriatrics</c:v>
                </c:pt>
                <c:pt idx="2">
                  <c:v>Gynecology</c:v>
                </c:pt>
                <c:pt idx="3">
                  <c:v>Neurology</c:v>
                </c:pt>
                <c:pt idx="4">
                  <c:v>Oncology</c:v>
                </c:pt>
                <c:pt idx="5">
                  <c:v>Orthopedics</c:v>
                </c:pt>
                <c:pt idx="6">
                  <c:v>Pediatrics</c:v>
                </c:pt>
              </c:strCache>
            </c:strRef>
          </c:cat>
          <c:val>
            <c:numRef>
              <c:f>ANALYSIS!$J$16:$J$23</c:f>
              <c:numCache>
                <c:formatCode>General</c:formatCode>
                <c:ptCount val="7"/>
                <c:pt idx="0">
                  <c:v>6.75</c:v>
                </c:pt>
                <c:pt idx="1">
                  <c:v>5</c:v>
                </c:pt>
                <c:pt idx="2">
                  <c:v>10</c:v>
                </c:pt>
                <c:pt idx="3">
                  <c:v>8.75</c:v>
                </c:pt>
                <c:pt idx="4">
                  <c:v>6</c:v>
                </c:pt>
                <c:pt idx="5">
                  <c:v>8.3333333333333339</c:v>
                </c:pt>
                <c:pt idx="6">
                  <c:v>10</c:v>
                </c:pt>
              </c:numCache>
            </c:numRef>
          </c:val>
          <c:extLst>
            <c:ext xmlns:c16="http://schemas.microsoft.com/office/drawing/2014/chart" uri="{C3380CC4-5D6E-409C-BE32-E72D297353CC}">
              <c16:uniqueId val="{00000000-695B-401A-8747-3C3865A18F37}"/>
            </c:ext>
          </c:extLst>
        </c:ser>
        <c:dLbls>
          <c:dLblPos val="outEnd"/>
          <c:showLegendKey val="0"/>
          <c:showVal val="0"/>
          <c:showCatName val="0"/>
          <c:showSerName val="0"/>
          <c:showPercent val="0"/>
          <c:showBubbleSize val="0"/>
        </c:dLbls>
        <c:gapWidth val="219"/>
        <c:overlap val="-27"/>
        <c:axId val="1272083600"/>
        <c:axId val="1272085040"/>
      </c:barChart>
      <c:catAx>
        <c:axId val="127208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BD5E1"/>
                </a:solidFill>
                <a:latin typeface="+mn-lt"/>
                <a:ea typeface="+mn-ea"/>
                <a:cs typeface="+mn-cs"/>
              </a:defRPr>
            </a:pPr>
            <a:endParaRPr lang="en-US"/>
          </a:p>
        </c:txPr>
        <c:crossAx val="1272085040"/>
        <c:crosses val="autoZero"/>
        <c:auto val="1"/>
        <c:lblAlgn val="ctr"/>
        <c:lblOffset val="100"/>
        <c:noMultiLvlLbl val="0"/>
      </c:catAx>
      <c:valAx>
        <c:axId val="1272085040"/>
        <c:scaling>
          <c:orientation val="minMax"/>
        </c:scaling>
        <c:delete val="1"/>
        <c:axPos val="l"/>
        <c:numFmt formatCode="General" sourceLinked="1"/>
        <c:majorTickMark val="none"/>
        <c:minorTickMark val="none"/>
        <c:tickLblPos val="nextTo"/>
        <c:crossAx val="127208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Oyeniyi.xlsx]ANALYSIS!PivotTable20</c:name>
    <c:fmtId val="3"/>
  </c:pivotSource>
  <c:chart>
    <c:autoTitleDeleted val="1"/>
    <c:pivotFmts>
      <c:pivotFmt>
        <c:idx val="0"/>
        <c:spPr>
          <a:solidFill>
            <a:srgbClr val="6CC5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CC5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718715393133997E-2"/>
          <c:y val="7.599309153713299E-2"/>
          <c:w val="0.97785160575858254"/>
          <c:h val="0.76374253736417663"/>
        </c:manualLayout>
      </c:layout>
      <c:barChart>
        <c:barDir val="col"/>
        <c:grouping val="clustered"/>
        <c:varyColors val="0"/>
        <c:ser>
          <c:idx val="0"/>
          <c:order val="0"/>
          <c:tx>
            <c:strRef>
              <c:f>ANALYSIS!$K$45</c:f>
              <c:strCache>
                <c:ptCount val="1"/>
                <c:pt idx="0">
                  <c:v>Total</c:v>
                </c:pt>
              </c:strCache>
            </c:strRef>
          </c:tx>
          <c:spPr>
            <a:solidFill>
              <a:schemeClr val="accent5">
                <a:lumMod val="75000"/>
              </a:schemeClr>
            </a:solidFill>
            <a:ln>
              <a:noFill/>
            </a:ln>
            <a:effectLst/>
          </c:spPr>
          <c:invertIfNegative val="0"/>
          <c:cat>
            <c:strRef>
              <c:f>ANALYSIS!$J$46:$J$52</c:f>
              <c:strCache>
                <c:ptCount val="6"/>
                <c:pt idx="0">
                  <c:v>18-25</c:v>
                </c:pt>
                <c:pt idx="1">
                  <c:v>26-35</c:v>
                </c:pt>
                <c:pt idx="2">
                  <c:v>36-45</c:v>
                </c:pt>
                <c:pt idx="3">
                  <c:v>46-55</c:v>
                </c:pt>
                <c:pt idx="4">
                  <c:v>56-65</c:v>
                </c:pt>
                <c:pt idx="5">
                  <c:v>66-80</c:v>
                </c:pt>
              </c:strCache>
            </c:strRef>
          </c:cat>
          <c:val>
            <c:numRef>
              <c:f>ANALYSIS!$K$46:$K$52</c:f>
              <c:numCache>
                <c:formatCode>General</c:formatCode>
                <c:ptCount val="6"/>
                <c:pt idx="0">
                  <c:v>2</c:v>
                </c:pt>
                <c:pt idx="1">
                  <c:v>3</c:v>
                </c:pt>
                <c:pt idx="2">
                  <c:v>3</c:v>
                </c:pt>
                <c:pt idx="3">
                  <c:v>3</c:v>
                </c:pt>
                <c:pt idx="4">
                  <c:v>2</c:v>
                </c:pt>
                <c:pt idx="5">
                  <c:v>2</c:v>
                </c:pt>
              </c:numCache>
            </c:numRef>
          </c:val>
          <c:extLst>
            <c:ext xmlns:c16="http://schemas.microsoft.com/office/drawing/2014/chart" uri="{C3380CC4-5D6E-409C-BE32-E72D297353CC}">
              <c16:uniqueId val="{00000000-7D17-4A52-A66F-88B7881DC1B3}"/>
            </c:ext>
          </c:extLst>
        </c:ser>
        <c:dLbls>
          <c:showLegendKey val="0"/>
          <c:showVal val="0"/>
          <c:showCatName val="0"/>
          <c:showSerName val="0"/>
          <c:showPercent val="0"/>
          <c:showBubbleSize val="0"/>
        </c:dLbls>
        <c:gapWidth val="219"/>
        <c:overlap val="-27"/>
        <c:axId val="1569443648"/>
        <c:axId val="1569431168"/>
      </c:barChart>
      <c:catAx>
        <c:axId val="156944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BD5E1"/>
                </a:solidFill>
                <a:latin typeface="+mn-lt"/>
                <a:ea typeface="+mn-ea"/>
                <a:cs typeface="+mn-cs"/>
              </a:defRPr>
            </a:pPr>
            <a:endParaRPr lang="en-US"/>
          </a:p>
        </c:txPr>
        <c:crossAx val="1569431168"/>
        <c:crosses val="autoZero"/>
        <c:auto val="1"/>
        <c:lblAlgn val="ctr"/>
        <c:lblOffset val="100"/>
        <c:noMultiLvlLbl val="0"/>
      </c:catAx>
      <c:valAx>
        <c:axId val="1569431168"/>
        <c:scaling>
          <c:orientation val="minMax"/>
        </c:scaling>
        <c:delete val="1"/>
        <c:axPos val="l"/>
        <c:numFmt formatCode="General" sourceLinked="1"/>
        <c:majorTickMark val="none"/>
        <c:minorTickMark val="none"/>
        <c:tickLblPos val="nextTo"/>
        <c:crossAx val="156944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Oyeniyi.xlsx]ANALYSIS!PivotTable8</c:name>
    <c:fmtId val="3"/>
  </c:pivotSource>
  <c:chart>
    <c:title>
      <c:tx>
        <c:rich>
          <a:bodyPr rot="0" spcFirstLastPara="1" vertOverflow="ellipsis" vert="horz" wrap="square" anchor="ctr" anchorCtr="1"/>
          <a:lstStyle/>
          <a:p>
            <a:pPr>
              <a:defRPr sz="1400" b="1" i="0" u="none" strike="noStrike" kern="1200" spc="0" baseline="0">
                <a:solidFill>
                  <a:srgbClr val="1F2933"/>
                </a:solidFill>
                <a:latin typeface="+mn-lt"/>
                <a:ea typeface="+mn-ea"/>
                <a:cs typeface="+mn-cs"/>
              </a:defRPr>
            </a:pPr>
            <a:r>
              <a:rPr lang="en-US" b="1">
                <a:solidFill>
                  <a:srgbClr val="1F2933"/>
                </a:solidFill>
              </a:rPr>
              <a:t>Patient</a:t>
            </a:r>
            <a:r>
              <a:rPr lang="en-US" b="1" baseline="0">
                <a:solidFill>
                  <a:srgbClr val="1F2933"/>
                </a:solidFill>
              </a:rPr>
              <a:t>s by department</a:t>
            </a:r>
            <a:endParaRPr lang="en-US" b="1">
              <a:solidFill>
                <a:srgbClr val="1F293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29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C6E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ANALYSIS!$M$16</c:f>
              <c:strCache>
                <c:ptCount val="1"/>
                <c:pt idx="0">
                  <c:v>Total</c:v>
                </c:pt>
              </c:strCache>
            </c:strRef>
          </c:tx>
          <c:spPr>
            <a:solidFill>
              <a:srgbClr val="4C6EF5"/>
            </a:solidFill>
            <a:ln>
              <a:noFill/>
            </a:ln>
            <a:effectLst/>
          </c:spPr>
          <c:invertIfNegative val="0"/>
          <c:cat>
            <c:strRef>
              <c:f>ANALYSIS!$L$17:$L$24</c:f>
              <c:strCache>
                <c:ptCount val="7"/>
                <c:pt idx="0">
                  <c:v>Cardiology</c:v>
                </c:pt>
                <c:pt idx="1">
                  <c:v>Geriatrics</c:v>
                </c:pt>
                <c:pt idx="2">
                  <c:v>Gynecology</c:v>
                </c:pt>
                <c:pt idx="3">
                  <c:v>Neurology</c:v>
                </c:pt>
                <c:pt idx="4">
                  <c:v>Oncology</c:v>
                </c:pt>
                <c:pt idx="5">
                  <c:v>Orthopedics</c:v>
                </c:pt>
                <c:pt idx="6">
                  <c:v>Pediatrics</c:v>
                </c:pt>
              </c:strCache>
            </c:strRef>
          </c:cat>
          <c:val>
            <c:numRef>
              <c:f>ANALYSIS!$M$17:$M$24</c:f>
              <c:numCache>
                <c:formatCode>General</c:formatCode>
                <c:ptCount val="7"/>
                <c:pt idx="0">
                  <c:v>4</c:v>
                </c:pt>
                <c:pt idx="1">
                  <c:v>1</c:v>
                </c:pt>
                <c:pt idx="2">
                  <c:v>1</c:v>
                </c:pt>
                <c:pt idx="3">
                  <c:v>4</c:v>
                </c:pt>
                <c:pt idx="4">
                  <c:v>1</c:v>
                </c:pt>
                <c:pt idx="5">
                  <c:v>3</c:v>
                </c:pt>
                <c:pt idx="6">
                  <c:v>1</c:v>
                </c:pt>
              </c:numCache>
            </c:numRef>
          </c:val>
          <c:extLst>
            <c:ext xmlns:c16="http://schemas.microsoft.com/office/drawing/2014/chart" uri="{C3380CC4-5D6E-409C-BE32-E72D297353CC}">
              <c16:uniqueId val="{00000000-51A0-4F49-B9CC-7694436ABFC4}"/>
            </c:ext>
          </c:extLst>
        </c:ser>
        <c:dLbls>
          <c:showLegendKey val="0"/>
          <c:showVal val="0"/>
          <c:showCatName val="0"/>
          <c:showSerName val="0"/>
          <c:showPercent val="0"/>
          <c:showBubbleSize val="0"/>
        </c:dLbls>
        <c:gapWidth val="219"/>
        <c:overlap val="-27"/>
        <c:axId val="1670611167"/>
        <c:axId val="1670585247"/>
      </c:barChart>
      <c:catAx>
        <c:axId val="167061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585247"/>
        <c:crosses val="autoZero"/>
        <c:auto val="1"/>
        <c:lblAlgn val="ctr"/>
        <c:lblOffset val="100"/>
        <c:noMultiLvlLbl val="0"/>
      </c:catAx>
      <c:valAx>
        <c:axId val="1670585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61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rgbClr val="3A86F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Oyeniyi.xlsx]ANALYSIS!PivotTable6</c:name>
    <c:fmtId val="3"/>
  </c:pivotSource>
  <c:chart>
    <c:title>
      <c:tx>
        <c:rich>
          <a:bodyPr rot="0" spcFirstLastPara="1" vertOverflow="ellipsis" vert="horz" wrap="square" anchor="ctr" anchorCtr="1"/>
          <a:lstStyle/>
          <a:p>
            <a:pPr>
              <a:defRPr sz="1400" b="1" i="0" u="none" strike="noStrike" kern="1200" spc="0" baseline="0">
                <a:solidFill>
                  <a:srgbClr val="1F2933"/>
                </a:solidFill>
                <a:latin typeface="+mn-lt"/>
                <a:ea typeface="+mn-ea"/>
                <a:cs typeface="+mn-cs"/>
              </a:defRPr>
            </a:pPr>
            <a:r>
              <a:rPr lang="en-US" b="1">
                <a:solidFill>
                  <a:srgbClr val="1F2933"/>
                </a:solidFill>
              </a:rPr>
              <a:t>Satisfaction</a:t>
            </a:r>
            <a:r>
              <a:rPr lang="en-US" b="1" baseline="0">
                <a:solidFill>
                  <a:srgbClr val="1F2933"/>
                </a:solidFill>
              </a:rPr>
              <a:t> score by department</a:t>
            </a:r>
            <a:endParaRPr lang="en-US" b="1">
              <a:solidFill>
                <a:srgbClr val="1F2933"/>
              </a:solidFill>
            </a:endParaRPr>
          </a:p>
        </c:rich>
      </c:tx>
      <c:layout>
        <c:manualLayout>
          <c:xMode val="edge"/>
          <c:yMode val="edge"/>
          <c:x val="0.28822222222222221"/>
          <c:y val="0.1008311461067366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F29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C6E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ANALYSIS!$J$15</c:f>
              <c:strCache>
                <c:ptCount val="1"/>
                <c:pt idx="0">
                  <c:v>Total</c:v>
                </c:pt>
              </c:strCache>
            </c:strRef>
          </c:tx>
          <c:spPr>
            <a:solidFill>
              <a:srgbClr val="4C6EF5"/>
            </a:solidFill>
            <a:ln>
              <a:noFill/>
            </a:ln>
            <a:effectLst/>
          </c:spPr>
          <c:invertIfNegative val="0"/>
          <c:cat>
            <c:strRef>
              <c:f>ANALYSIS!$I$16:$I$23</c:f>
              <c:strCache>
                <c:ptCount val="7"/>
                <c:pt idx="0">
                  <c:v>Cardiology</c:v>
                </c:pt>
                <c:pt idx="1">
                  <c:v>Geriatrics</c:v>
                </c:pt>
                <c:pt idx="2">
                  <c:v>Gynecology</c:v>
                </c:pt>
                <c:pt idx="3">
                  <c:v>Neurology</c:v>
                </c:pt>
                <c:pt idx="4">
                  <c:v>Oncology</c:v>
                </c:pt>
                <c:pt idx="5">
                  <c:v>Orthopedics</c:v>
                </c:pt>
                <c:pt idx="6">
                  <c:v>Pediatrics</c:v>
                </c:pt>
              </c:strCache>
            </c:strRef>
          </c:cat>
          <c:val>
            <c:numRef>
              <c:f>ANALYSIS!$J$16:$J$23</c:f>
              <c:numCache>
                <c:formatCode>General</c:formatCode>
                <c:ptCount val="7"/>
                <c:pt idx="0">
                  <c:v>6.75</c:v>
                </c:pt>
                <c:pt idx="1">
                  <c:v>5</c:v>
                </c:pt>
                <c:pt idx="2">
                  <c:v>10</c:v>
                </c:pt>
                <c:pt idx="3">
                  <c:v>8.75</c:v>
                </c:pt>
                <c:pt idx="4">
                  <c:v>6</c:v>
                </c:pt>
                <c:pt idx="5">
                  <c:v>8.3333333333333339</c:v>
                </c:pt>
                <c:pt idx="6">
                  <c:v>10</c:v>
                </c:pt>
              </c:numCache>
            </c:numRef>
          </c:val>
          <c:extLst>
            <c:ext xmlns:c16="http://schemas.microsoft.com/office/drawing/2014/chart" uri="{C3380CC4-5D6E-409C-BE32-E72D297353CC}">
              <c16:uniqueId val="{00000000-8912-439F-83F1-3A93E6F1161A}"/>
            </c:ext>
          </c:extLst>
        </c:ser>
        <c:dLbls>
          <c:showLegendKey val="0"/>
          <c:showVal val="0"/>
          <c:showCatName val="0"/>
          <c:showSerName val="0"/>
          <c:showPercent val="0"/>
          <c:showBubbleSize val="0"/>
        </c:dLbls>
        <c:gapWidth val="150"/>
        <c:overlap val="100"/>
        <c:axId val="1670634207"/>
        <c:axId val="1670642847"/>
      </c:barChart>
      <c:catAx>
        <c:axId val="167063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642847"/>
        <c:crosses val="autoZero"/>
        <c:auto val="1"/>
        <c:lblAlgn val="ctr"/>
        <c:lblOffset val="100"/>
        <c:noMultiLvlLbl val="0"/>
      </c:catAx>
      <c:valAx>
        <c:axId val="1670642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63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rgbClr val="3A86F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Overview Dataset (version 1). Okikiola Oyeniyi.xlsx]ANALYSIS!PivotTable5</c:name>
    <c:fmtId val="3"/>
  </c:pivotSource>
  <c:chart>
    <c:title>
      <c:tx>
        <c:rich>
          <a:bodyPr rot="0" spcFirstLastPara="1" vertOverflow="ellipsis" vert="horz" wrap="square" anchor="ctr" anchorCtr="1"/>
          <a:lstStyle/>
          <a:p>
            <a:pPr>
              <a:defRPr sz="1400" b="1" i="0" u="none" strike="noStrike" kern="1200" spc="0" baseline="0">
                <a:solidFill>
                  <a:srgbClr val="1F2933"/>
                </a:solidFill>
                <a:latin typeface="+mn-lt"/>
                <a:ea typeface="+mn-ea"/>
                <a:cs typeface="+mn-cs"/>
              </a:defRPr>
            </a:pPr>
            <a:r>
              <a:rPr lang="en-US" b="1">
                <a:solidFill>
                  <a:srgbClr val="1F2933"/>
                </a:solidFill>
              </a:rPr>
              <a:t>Payment</a:t>
            </a:r>
            <a:r>
              <a:rPr lang="en-US" b="1" baseline="0">
                <a:solidFill>
                  <a:srgbClr val="1F2933"/>
                </a:solidFill>
              </a:rPr>
              <a:t> method distribution</a:t>
            </a:r>
            <a:endParaRPr lang="en-US" b="1">
              <a:solidFill>
                <a:srgbClr val="1F293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2933"/>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tint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hade val="65000"/>
            </a:schemeClr>
          </a:solidFill>
          <a:ln w="19050">
            <a:solidFill>
              <a:schemeClr val="lt1"/>
            </a:solidFill>
          </a:ln>
          <a:effectLst/>
        </c:spPr>
      </c:pivotFmt>
    </c:pivotFmts>
    <c:plotArea>
      <c:layout/>
      <c:pieChart>
        <c:varyColors val="1"/>
        <c:ser>
          <c:idx val="0"/>
          <c:order val="0"/>
          <c:tx>
            <c:strRef>
              <c:f>ANALYSIS!$B$23</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3014-4CAF-99A4-773F2A38735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014-4CAF-99A4-773F2A387353}"/>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3014-4CAF-99A4-773F2A387353}"/>
              </c:ext>
            </c:extLst>
          </c:dPt>
          <c:cat>
            <c:strRef>
              <c:f>ANALYSIS!$A$24:$A$27</c:f>
              <c:strCache>
                <c:ptCount val="3"/>
                <c:pt idx="0">
                  <c:v>Cash</c:v>
                </c:pt>
                <c:pt idx="1">
                  <c:v>Credit Card</c:v>
                </c:pt>
                <c:pt idx="2">
                  <c:v>Insurance</c:v>
                </c:pt>
              </c:strCache>
            </c:strRef>
          </c:cat>
          <c:val>
            <c:numRef>
              <c:f>ANALYSIS!$B$24:$B$27</c:f>
              <c:numCache>
                <c:formatCode>General</c:formatCode>
                <c:ptCount val="3"/>
                <c:pt idx="0">
                  <c:v>4</c:v>
                </c:pt>
                <c:pt idx="1">
                  <c:v>3</c:v>
                </c:pt>
                <c:pt idx="2">
                  <c:v>8</c:v>
                </c:pt>
              </c:numCache>
            </c:numRef>
          </c:val>
          <c:extLst>
            <c:ext xmlns:c16="http://schemas.microsoft.com/office/drawing/2014/chart" uri="{C3380CC4-5D6E-409C-BE32-E72D297353CC}">
              <c16:uniqueId val="{00000006-3014-4CAF-99A4-773F2A3873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rgbClr val="3A86F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Overview Dataset (version 1). Okikiola Oyeniyi.xlsx]ANALYSIS!PivotTable4</c:name>
    <c:fmtId val="3"/>
  </c:pivotSource>
  <c:chart>
    <c:title>
      <c:tx>
        <c:rich>
          <a:bodyPr rot="0" spcFirstLastPara="1" vertOverflow="ellipsis" vert="horz" wrap="square" anchor="ctr" anchorCtr="1"/>
          <a:lstStyle/>
          <a:p>
            <a:pPr>
              <a:defRPr sz="1400" b="1" i="0" u="none" strike="noStrike" kern="1200" spc="0" baseline="0">
                <a:solidFill>
                  <a:srgbClr val="1F2933"/>
                </a:solidFill>
                <a:latin typeface="+mn-lt"/>
                <a:ea typeface="+mn-ea"/>
                <a:cs typeface="+mn-cs"/>
              </a:defRPr>
            </a:pPr>
            <a:r>
              <a:rPr lang="en-US" b="1">
                <a:solidFill>
                  <a:srgbClr val="1F2933"/>
                </a:solidFill>
              </a:rPr>
              <a:t>Percentage</a:t>
            </a:r>
            <a:r>
              <a:rPr lang="en-US" b="1" baseline="0">
                <a:solidFill>
                  <a:srgbClr val="1F2933"/>
                </a:solidFill>
              </a:rPr>
              <a:t> of emergency admission</a:t>
            </a:r>
            <a:endParaRPr lang="en-US" b="1">
              <a:solidFill>
                <a:srgbClr val="1F293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2933"/>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manualLayout>
          <c:layoutTarget val="inner"/>
          <c:xMode val="edge"/>
          <c:yMode val="edge"/>
          <c:x val="0.21474934383202096"/>
          <c:y val="0.26328484981044037"/>
          <c:w val="0.41147353455818025"/>
          <c:h val="0.68578922426363376"/>
        </c:manualLayout>
      </c:layout>
      <c:doughnutChart>
        <c:varyColors val="1"/>
        <c:ser>
          <c:idx val="0"/>
          <c:order val="0"/>
          <c:tx>
            <c:strRef>
              <c:f>ANALYSIS!$B$16</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7A09-4EDA-A3B2-0E1BCA77BC6D}"/>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7A09-4EDA-A3B2-0E1BCA77BC6D}"/>
              </c:ext>
            </c:extLst>
          </c:dPt>
          <c:cat>
            <c:strRef>
              <c:f>ANALYSIS!$A$17:$A$19</c:f>
              <c:strCache>
                <c:ptCount val="2"/>
                <c:pt idx="0">
                  <c:v>No</c:v>
                </c:pt>
                <c:pt idx="1">
                  <c:v>Yes</c:v>
                </c:pt>
              </c:strCache>
            </c:strRef>
          </c:cat>
          <c:val>
            <c:numRef>
              <c:f>ANALYSIS!$B$17:$B$19</c:f>
              <c:numCache>
                <c:formatCode>General</c:formatCode>
                <c:ptCount val="2"/>
                <c:pt idx="0">
                  <c:v>11</c:v>
                </c:pt>
                <c:pt idx="1">
                  <c:v>4</c:v>
                </c:pt>
              </c:numCache>
            </c:numRef>
          </c:val>
          <c:extLst>
            <c:ext xmlns:c16="http://schemas.microsoft.com/office/drawing/2014/chart" uri="{C3380CC4-5D6E-409C-BE32-E72D297353CC}">
              <c16:uniqueId val="{00000004-7A09-4EDA-A3B2-0E1BCA77BC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rgbClr val="3A86F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Oyeniyi.xlsx]ANALYSIS!PivotTable3</c:name>
    <c:fmtId val="3"/>
  </c:pivotSource>
  <c:chart>
    <c:title>
      <c:tx>
        <c:rich>
          <a:bodyPr rot="0" spcFirstLastPara="1" vertOverflow="ellipsis" vert="horz" wrap="square" anchor="ctr" anchorCtr="1"/>
          <a:lstStyle/>
          <a:p>
            <a:pPr>
              <a:defRPr sz="1400" b="1" i="0" u="none" strike="noStrike" kern="1200" spc="0" baseline="0">
                <a:solidFill>
                  <a:srgbClr val="1F2933"/>
                </a:solidFill>
                <a:latin typeface="+mn-lt"/>
                <a:ea typeface="+mn-ea"/>
                <a:cs typeface="+mn-cs"/>
              </a:defRPr>
            </a:pPr>
            <a:r>
              <a:rPr lang="en-US" b="1">
                <a:solidFill>
                  <a:srgbClr val="1F2933"/>
                </a:solidFill>
              </a:rPr>
              <a:t>Revenue</a:t>
            </a:r>
            <a:r>
              <a:rPr lang="en-US" b="1" baseline="0">
                <a:solidFill>
                  <a:srgbClr val="1F2933"/>
                </a:solidFill>
              </a:rPr>
              <a:t> by department</a:t>
            </a:r>
            <a:endParaRPr lang="en-US" b="1">
              <a:solidFill>
                <a:srgbClr val="1F293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29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C6E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ANALYSIS!$J$3</c:f>
              <c:strCache>
                <c:ptCount val="1"/>
                <c:pt idx="0">
                  <c:v>Total</c:v>
                </c:pt>
              </c:strCache>
            </c:strRef>
          </c:tx>
          <c:spPr>
            <a:solidFill>
              <a:srgbClr val="4C6EF5"/>
            </a:solidFill>
            <a:ln>
              <a:noFill/>
            </a:ln>
            <a:effectLst/>
          </c:spPr>
          <c:invertIfNegative val="0"/>
          <c:cat>
            <c:strRef>
              <c:f>ANALYSIS!$I$4:$I$11</c:f>
              <c:strCache>
                <c:ptCount val="7"/>
                <c:pt idx="0">
                  <c:v>Cardiology</c:v>
                </c:pt>
                <c:pt idx="1">
                  <c:v>Geriatrics</c:v>
                </c:pt>
                <c:pt idx="2">
                  <c:v>Gynecology</c:v>
                </c:pt>
                <c:pt idx="3">
                  <c:v>Neurology</c:v>
                </c:pt>
                <c:pt idx="4">
                  <c:v>Oncology</c:v>
                </c:pt>
                <c:pt idx="5">
                  <c:v>Orthopedics</c:v>
                </c:pt>
                <c:pt idx="6">
                  <c:v>Pediatrics</c:v>
                </c:pt>
              </c:strCache>
            </c:strRef>
          </c:cat>
          <c:val>
            <c:numRef>
              <c:f>ANALYSIS!$J$4:$J$11</c:f>
              <c:numCache>
                <c:formatCode>General</c:formatCode>
                <c:ptCount val="7"/>
                <c:pt idx="0">
                  <c:v>4</c:v>
                </c:pt>
                <c:pt idx="1">
                  <c:v>1</c:v>
                </c:pt>
                <c:pt idx="2">
                  <c:v>1</c:v>
                </c:pt>
                <c:pt idx="3">
                  <c:v>4</c:v>
                </c:pt>
                <c:pt idx="4">
                  <c:v>1</c:v>
                </c:pt>
                <c:pt idx="5">
                  <c:v>3</c:v>
                </c:pt>
                <c:pt idx="6">
                  <c:v>1</c:v>
                </c:pt>
              </c:numCache>
            </c:numRef>
          </c:val>
          <c:extLst>
            <c:ext xmlns:c16="http://schemas.microsoft.com/office/drawing/2014/chart" uri="{C3380CC4-5D6E-409C-BE32-E72D297353CC}">
              <c16:uniqueId val="{00000000-A9B4-4902-BBCE-B23B05E82F3A}"/>
            </c:ext>
          </c:extLst>
        </c:ser>
        <c:dLbls>
          <c:showLegendKey val="0"/>
          <c:showVal val="0"/>
          <c:showCatName val="0"/>
          <c:showSerName val="0"/>
          <c:showPercent val="0"/>
          <c:showBubbleSize val="0"/>
        </c:dLbls>
        <c:gapWidth val="150"/>
        <c:overlap val="100"/>
        <c:axId val="1670587647"/>
        <c:axId val="1670591487"/>
      </c:barChart>
      <c:catAx>
        <c:axId val="1670587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591487"/>
        <c:crosses val="autoZero"/>
        <c:auto val="1"/>
        <c:lblAlgn val="ctr"/>
        <c:lblOffset val="100"/>
        <c:noMultiLvlLbl val="0"/>
      </c:catAx>
      <c:valAx>
        <c:axId val="16705914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58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rgbClr val="3A86F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Oyeniyi.xlsx]ANALYSIS!PivotTable2</c:name>
    <c:fmtId val="11"/>
  </c:pivotSource>
  <c:chart>
    <c:title>
      <c:tx>
        <c:rich>
          <a:bodyPr rot="0" spcFirstLastPara="1" vertOverflow="ellipsis" vert="horz" wrap="square" anchor="ctr" anchorCtr="1"/>
          <a:lstStyle/>
          <a:p>
            <a:pPr>
              <a:defRPr sz="1400" b="1" i="0" u="none" strike="noStrike" kern="1200" baseline="0">
                <a:solidFill>
                  <a:srgbClr val="1F2933"/>
                </a:solidFill>
                <a:latin typeface="+mn-lt"/>
                <a:ea typeface="+mn-ea"/>
                <a:cs typeface="+mn-cs"/>
              </a:defRPr>
            </a:pPr>
            <a:r>
              <a:rPr lang="en-US" sz="1400">
                <a:solidFill>
                  <a:srgbClr val="1F2933"/>
                </a:solidFill>
              </a:rPr>
              <a:t>Length of stay by department</a:t>
            </a:r>
          </a:p>
        </c:rich>
      </c:tx>
      <c:layout>
        <c:manualLayout>
          <c:xMode val="edge"/>
          <c:yMode val="edge"/>
          <c:x val="0.20292532717474984"/>
          <c:y val="0.11028467595396732"/>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1F2933"/>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C6EF5"/>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ANALYSIS!$A$4:$A$11</c:f>
              <c:strCache>
                <c:ptCount val="7"/>
                <c:pt idx="0">
                  <c:v>Cardiology</c:v>
                </c:pt>
                <c:pt idx="1">
                  <c:v>Geriatrics</c:v>
                </c:pt>
                <c:pt idx="2">
                  <c:v>Gynecology</c:v>
                </c:pt>
                <c:pt idx="3">
                  <c:v>Neurology</c:v>
                </c:pt>
                <c:pt idx="4">
                  <c:v>Oncology</c:v>
                </c:pt>
                <c:pt idx="5">
                  <c:v>Orthopedics</c:v>
                </c:pt>
                <c:pt idx="6">
                  <c:v>Pediatrics</c:v>
                </c:pt>
              </c:strCache>
            </c:strRef>
          </c:cat>
          <c:val>
            <c:numRef>
              <c:f>ANALYSIS!$B$4:$B$11</c:f>
              <c:numCache>
                <c:formatCode>General</c:formatCode>
                <c:ptCount val="7"/>
                <c:pt idx="0">
                  <c:v>6</c:v>
                </c:pt>
                <c:pt idx="1">
                  <c:v>7</c:v>
                </c:pt>
                <c:pt idx="2">
                  <c:v>2</c:v>
                </c:pt>
                <c:pt idx="3">
                  <c:v>4.5</c:v>
                </c:pt>
                <c:pt idx="4">
                  <c:v>15</c:v>
                </c:pt>
                <c:pt idx="5">
                  <c:v>4</c:v>
                </c:pt>
                <c:pt idx="6">
                  <c:v>6</c:v>
                </c:pt>
              </c:numCache>
            </c:numRef>
          </c:val>
          <c:extLst>
            <c:ext xmlns:c16="http://schemas.microsoft.com/office/drawing/2014/chart" uri="{C3380CC4-5D6E-409C-BE32-E72D297353CC}">
              <c16:uniqueId val="{00000000-FDDB-43B1-B689-6BD8FF7F3976}"/>
            </c:ext>
          </c:extLst>
        </c:ser>
        <c:dLbls>
          <c:showLegendKey val="0"/>
          <c:showVal val="0"/>
          <c:showCatName val="0"/>
          <c:showSerName val="0"/>
          <c:showPercent val="0"/>
          <c:showBubbleSize val="0"/>
        </c:dLbls>
        <c:gapWidth val="65"/>
        <c:axId val="1670602527"/>
        <c:axId val="1670583327"/>
      </c:barChart>
      <c:catAx>
        <c:axId val="16706025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70583327"/>
        <c:crosses val="autoZero"/>
        <c:auto val="1"/>
        <c:lblAlgn val="ctr"/>
        <c:lblOffset val="100"/>
        <c:noMultiLvlLbl val="0"/>
      </c:catAx>
      <c:valAx>
        <c:axId val="1670583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70602527"/>
        <c:crosses val="autoZero"/>
        <c:crossBetween val="between"/>
      </c:valAx>
      <c:spPr>
        <a:solidFill>
          <a:srgbClr val="F7FAFC"/>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rgbClr val="3A86F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Overview Dataset (version 1). Okikiola Oyeniyi.xlsx]ANALYSIS!PivotTable1</c:name>
    <c:fmtId val="7"/>
  </c:pivotSource>
  <c:chart>
    <c:title>
      <c:tx>
        <c:rich>
          <a:bodyPr rot="0" spcFirstLastPara="1" vertOverflow="ellipsis" vert="horz" wrap="square" anchor="ctr" anchorCtr="1"/>
          <a:lstStyle/>
          <a:p>
            <a:pPr>
              <a:defRPr sz="1400" b="1" i="0" u="none" strike="noStrike" kern="1200" spc="0" baseline="0">
                <a:solidFill>
                  <a:srgbClr val="1F2933"/>
                </a:solidFill>
                <a:latin typeface="+mn-lt"/>
                <a:ea typeface="+mn-ea"/>
                <a:cs typeface="+mn-cs"/>
              </a:defRPr>
            </a:pPr>
            <a:r>
              <a:rPr lang="en-US" b="1">
                <a:solidFill>
                  <a:srgbClr val="1F2933"/>
                </a:solidFill>
              </a:rPr>
              <a:t>Bill</a:t>
            </a:r>
            <a:r>
              <a:rPr lang="en-US" b="1" baseline="0">
                <a:solidFill>
                  <a:srgbClr val="1F2933"/>
                </a:solidFill>
              </a:rPr>
              <a:t> amount by Insurance</a:t>
            </a:r>
            <a:endParaRPr lang="en-US" b="1">
              <a:solidFill>
                <a:srgbClr val="1F293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29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C6E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ANALYSIS!$M$3</c:f>
              <c:strCache>
                <c:ptCount val="1"/>
                <c:pt idx="0">
                  <c:v>Total</c:v>
                </c:pt>
              </c:strCache>
            </c:strRef>
          </c:tx>
          <c:spPr>
            <a:solidFill>
              <a:srgbClr val="4C6EF5"/>
            </a:solidFill>
            <a:ln>
              <a:noFill/>
            </a:ln>
            <a:effectLst/>
          </c:spPr>
          <c:invertIfNegative val="0"/>
          <c:cat>
            <c:strRef>
              <c:f>ANALYSIS!$L$4:$L$6</c:f>
              <c:strCache>
                <c:ptCount val="2"/>
                <c:pt idx="0">
                  <c:v>Insured</c:v>
                </c:pt>
                <c:pt idx="1">
                  <c:v>Not Insured</c:v>
                </c:pt>
              </c:strCache>
            </c:strRef>
          </c:cat>
          <c:val>
            <c:numRef>
              <c:f>ANALYSIS!$M$4:$M$6</c:f>
              <c:numCache>
                <c:formatCode>General</c:formatCode>
                <c:ptCount val="2"/>
                <c:pt idx="0">
                  <c:v>9012.5</c:v>
                </c:pt>
                <c:pt idx="1">
                  <c:v>678.57142857142856</c:v>
                </c:pt>
              </c:numCache>
            </c:numRef>
          </c:val>
          <c:extLst>
            <c:ext xmlns:c16="http://schemas.microsoft.com/office/drawing/2014/chart" uri="{C3380CC4-5D6E-409C-BE32-E72D297353CC}">
              <c16:uniqueId val="{00000000-8E72-4ED2-8880-EF4837DB04E5}"/>
            </c:ext>
          </c:extLst>
        </c:ser>
        <c:dLbls>
          <c:showLegendKey val="0"/>
          <c:showVal val="0"/>
          <c:showCatName val="0"/>
          <c:showSerName val="0"/>
          <c:showPercent val="0"/>
          <c:showBubbleSize val="0"/>
        </c:dLbls>
        <c:gapWidth val="219"/>
        <c:overlap val="-27"/>
        <c:axId val="1987455984"/>
        <c:axId val="1987466544"/>
      </c:barChart>
      <c:catAx>
        <c:axId val="198745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466544"/>
        <c:crosses val="autoZero"/>
        <c:auto val="1"/>
        <c:lblAlgn val="ctr"/>
        <c:lblOffset val="100"/>
        <c:noMultiLvlLbl val="0"/>
      </c:catAx>
      <c:valAx>
        <c:axId val="198746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45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rgbClr val="3A86F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F2933"/>
                </a:solidFill>
              </a:rPr>
              <a:t>Patient</a:t>
            </a:r>
            <a:r>
              <a:rPr lang="en-US" b="1" baseline="0">
                <a:solidFill>
                  <a:srgbClr val="1F2933"/>
                </a:solidFill>
              </a:rPr>
              <a:t> distribution by Age group</a:t>
            </a:r>
            <a:endParaRPr lang="en-US" b="1">
              <a:solidFill>
                <a:srgbClr val="1F29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C6E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rgbClr val="4C6EF5"/>
            </a:solidFill>
            <a:ln>
              <a:noFill/>
            </a:ln>
            <a:effectLst/>
          </c:spPr>
          <c:invertIfNegative val="0"/>
          <c:cat>
            <c:strLit>
              <c:ptCount val="6"/>
              <c:pt idx="0">
                <c:v>18-25</c:v>
              </c:pt>
              <c:pt idx="1">
                <c:v>26-35</c:v>
              </c:pt>
              <c:pt idx="2">
                <c:v>36-45</c:v>
              </c:pt>
              <c:pt idx="3">
                <c:v>46-55</c:v>
              </c:pt>
              <c:pt idx="4">
                <c:v>56-65</c:v>
              </c:pt>
              <c:pt idx="5">
                <c:v>66-80</c:v>
              </c:pt>
            </c:strLit>
          </c:cat>
          <c:val>
            <c:numLit>
              <c:formatCode>General</c:formatCode>
              <c:ptCount val="6"/>
              <c:pt idx="0">
                <c:v>2</c:v>
              </c:pt>
              <c:pt idx="1">
                <c:v>3</c:v>
              </c:pt>
              <c:pt idx="2">
                <c:v>3</c:v>
              </c:pt>
              <c:pt idx="3">
                <c:v>3</c:v>
              </c:pt>
              <c:pt idx="4">
                <c:v>2</c:v>
              </c:pt>
              <c:pt idx="5">
                <c:v>2</c:v>
              </c:pt>
            </c:numLit>
          </c:val>
          <c:extLst>
            <c:ext xmlns:c16="http://schemas.microsoft.com/office/drawing/2014/chart" uri="{C3380CC4-5D6E-409C-BE32-E72D297353CC}">
              <c16:uniqueId val="{00000000-127B-43BF-9312-5AA345D20E1E}"/>
            </c:ext>
          </c:extLst>
        </c:ser>
        <c:dLbls>
          <c:showLegendKey val="0"/>
          <c:showVal val="0"/>
          <c:showCatName val="0"/>
          <c:showSerName val="0"/>
          <c:showPercent val="0"/>
          <c:showBubbleSize val="0"/>
        </c:dLbls>
        <c:gapWidth val="219"/>
        <c:overlap val="-27"/>
        <c:axId val="1582939695"/>
        <c:axId val="1582940175"/>
      </c:barChart>
      <c:catAx>
        <c:axId val="158293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40175"/>
        <c:crosses val="autoZero"/>
        <c:auto val="1"/>
        <c:lblAlgn val="ctr"/>
        <c:lblOffset val="100"/>
        <c:noMultiLvlLbl val="0"/>
      </c:catAx>
      <c:valAx>
        <c:axId val="1582940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3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rgbClr val="4C6EF5"/>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1">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4.svg"/><Relationship Id="rId3" Type="http://schemas.openxmlformats.org/officeDocument/2006/relationships/hyperlink" Target="#'source Data'!A1"/><Relationship Id="rId7" Type="http://schemas.openxmlformats.org/officeDocument/2006/relationships/chart" Target="../charts/chart9.xml"/><Relationship Id="rId12" Type="http://schemas.openxmlformats.org/officeDocument/2006/relationships/image" Target="../media/image3.png"/><Relationship Id="rId2" Type="http://schemas.openxmlformats.org/officeDocument/2006/relationships/hyperlink" Target="#ANALYSIS!A1"/><Relationship Id="rId1" Type="http://schemas.openxmlformats.org/officeDocument/2006/relationships/hyperlink" Target="#'Hospital Dashboard'!A1"/><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image" Target="../media/image2.svg"/><Relationship Id="rId10" Type="http://schemas.openxmlformats.org/officeDocument/2006/relationships/chart" Target="../charts/chart12.xml"/><Relationship Id="rId4" Type="http://schemas.openxmlformats.org/officeDocument/2006/relationships/image" Target="../media/image1.png"/><Relationship Id="rId9"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30</xdr:col>
      <xdr:colOff>19050</xdr:colOff>
      <xdr:row>38</xdr:row>
      <xdr:rowOff>0</xdr:rowOff>
    </xdr:to>
    <xdr:sp macro="" textlink="">
      <xdr:nvSpPr>
        <xdr:cNvPr id="3" name="Rectangle 2">
          <a:extLst>
            <a:ext uri="{FF2B5EF4-FFF2-40B4-BE49-F238E27FC236}">
              <a16:creationId xmlns:a16="http://schemas.microsoft.com/office/drawing/2014/main" id="{E2F231B8-7C20-22C6-AF3E-BA31DCC62FE0}"/>
            </a:ext>
          </a:extLst>
        </xdr:cNvPr>
        <xdr:cNvSpPr/>
      </xdr:nvSpPr>
      <xdr:spPr>
        <a:xfrm>
          <a:off x="19050" y="0"/>
          <a:ext cx="18288000" cy="7239000"/>
        </a:xfrm>
        <a:prstGeom prst="rect">
          <a:avLst/>
        </a:prstGeom>
        <a:solidFill>
          <a:srgbClr val="F8FA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1</xdr:row>
      <xdr:rowOff>0</xdr:rowOff>
    </xdr:from>
    <xdr:to>
      <xdr:col>26</xdr:col>
      <xdr:colOff>548640</xdr:colOff>
      <xdr:row>38</xdr:row>
      <xdr:rowOff>0</xdr:rowOff>
    </xdr:to>
    <xdr:sp macro="" textlink="">
      <xdr:nvSpPr>
        <xdr:cNvPr id="4" name="Rectangle 3">
          <a:extLst>
            <a:ext uri="{FF2B5EF4-FFF2-40B4-BE49-F238E27FC236}">
              <a16:creationId xmlns:a16="http://schemas.microsoft.com/office/drawing/2014/main" id="{4015F015-687C-AB6E-69BC-CCC99E7C8C5D}"/>
            </a:ext>
          </a:extLst>
        </xdr:cNvPr>
        <xdr:cNvSpPr/>
      </xdr:nvSpPr>
      <xdr:spPr>
        <a:xfrm>
          <a:off x="6705600" y="190500"/>
          <a:ext cx="9692640" cy="7048500"/>
        </a:xfrm>
        <a:prstGeom prst="rect">
          <a:avLst/>
        </a:prstGeom>
        <a:solidFill>
          <a:srgbClr val="F1F5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158115</xdr:colOff>
      <xdr:row>2</xdr:row>
      <xdr:rowOff>0</xdr:rowOff>
    </xdr:from>
    <xdr:to>
      <xdr:col>29</xdr:col>
      <xdr:colOff>401955</xdr:colOff>
      <xdr:row>35</xdr:row>
      <xdr:rowOff>102972</xdr:rowOff>
    </xdr:to>
    <xdr:sp macro="" textlink="">
      <xdr:nvSpPr>
        <xdr:cNvPr id="5" name="Rectangle 4">
          <a:extLst>
            <a:ext uri="{FF2B5EF4-FFF2-40B4-BE49-F238E27FC236}">
              <a16:creationId xmlns:a16="http://schemas.microsoft.com/office/drawing/2014/main" id="{078F5345-38A4-3D5C-4170-5D532F77DECD}"/>
            </a:ext>
          </a:extLst>
        </xdr:cNvPr>
        <xdr:cNvSpPr/>
      </xdr:nvSpPr>
      <xdr:spPr>
        <a:xfrm>
          <a:off x="16617315" y="381000"/>
          <a:ext cx="1463040" cy="6389472"/>
        </a:xfrm>
        <a:prstGeom prst="rect">
          <a:avLst/>
        </a:prstGeom>
        <a:solidFill>
          <a:srgbClr val="F8FA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72387</xdr:colOff>
      <xdr:row>0</xdr:row>
      <xdr:rowOff>28575</xdr:rowOff>
    </xdr:from>
    <xdr:to>
      <xdr:col>7</xdr:col>
      <xdr:colOff>563877</xdr:colOff>
      <xdr:row>2</xdr:row>
      <xdr:rowOff>104775</xdr:rowOff>
    </xdr:to>
    <xdr:sp macro="" textlink="">
      <xdr:nvSpPr>
        <xdr:cNvPr id="6" name="TextBox 5">
          <a:extLst>
            <a:ext uri="{FF2B5EF4-FFF2-40B4-BE49-F238E27FC236}">
              <a16:creationId xmlns:a16="http://schemas.microsoft.com/office/drawing/2014/main" id="{4918759F-6FDA-B992-05AC-78F9878FC8CC}"/>
            </a:ext>
          </a:extLst>
        </xdr:cNvPr>
        <xdr:cNvSpPr txBox="1"/>
      </xdr:nvSpPr>
      <xdr:spPr>
        <a:xfrm>
          <a:off x="72387" y="28575"/>
          <a:ext cx="4758690" cy="457200"/>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CBD5E1"/>
              </a:solidFill>
              <a:latin typeface="+mn-lt"/>
            </a:rPr>
            <a:t>HOSPITAL PERFORMANCE</a:t>
          </a:r>
          <a:r>
            <a:rPr lang="en-US" sz="2200" b="1" baseline="0">
              <a:solidFill>
                <a:srgbClr val="CBD5E1"/>
              </a:solidFill>
              <a:latin typeface="+mn-lt"/>
            </a:rPr>
            <a:t> OVERVIEW</a:t>
          </a:r>
          <a:endParaRPr lang="en-US" sz="2200" b="1">
            <a:solidFill>
              <a:srgbClr val="CBD5E1"/>
            </a:solidFill>
            <a:latin typeface="+mn-lt"/>
          </a:endParaRPr>
        </a:p>
      </xdr:txBody>
    </xdr:sp>
    <xdr:clientData/>
  </xdr:twoCellAnchor>
  <xdr:twoCellAnchor>
    <xdr:from>
      <xdr:col>0</xdr:col>
      <xdr:colOff>19049</xdr:colOff>
      <xdr:row>3</xdr:row>
      <xdr:rowOff>0</xdr:rowOff>
    </xdr:from>
    <xdr:to>
      <xdr:col>9</xdr:col>
      <xdr:colOff>201929</xdr:colOff>
      <xdr:row>15</xdr:row>
      <xdr:rowOff>91440</xdr:rowOff>
    </xdr:to>
    <xdr:sp macro="" textlink="">
      <xdr:nvSpPr>
        <xdr:cNvPr id="7" name="Rectangle: Rounded Corners 6">
          <a:extLst>
            <a:ext uri="{FF2B5EF4-FFF2-40B4-BE49-F238E27FC236}">
              <a16:creationId xmlns:a16="http://schemas.microsoft.com/office/drawing/2014/main" id="{2C4013CB-67C1-361C-55D1-8FC2F915A91D}"/>
            </a:ext>
          </a:extLst>
        </xdr:cNvPr>
        <xdr:cNvSpPr/>
      </xdr:nvSpPr>
      <xdr:spPr>
        <a:xfrm>
          <a:off x="19049" y="571500"/>
          <a:ext cx="5669280" cy="2377440"/>
        </a:xfrm>
        <a:prstGeom prst="roundRect">
          <a:avLst/>
        </a:prstGeom>
        <a:solidFill>
          <a:srgbClr val="CBD5E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1</xdr:row>
      <xdr:rowOff>0</xdr:rowOff>
    </xdr:from>
    <xdr:to>
      <xdr:col>16</xdr:col>
      <xdr:colOff>152400</xdr:colOff>
      <xdr:row>19</xdr:row>
      <xdr:rowOff>137160</xdr:rowOff>
    </xdr:to>
    <xdr:sp macro="" textlink="">
      <xdr:nvSpPr>
        <xdr:cNvPr id="8" name="Rectangle 7">
          <a:extLst>
            <a:ext uri="{FF2B5EF4-FFF2-40B4-BE49-F238E27FC236}">
              <a16:creationId xmlns:a16="http://schemas.microsoft.com/office/drawing/2014/main" id="{29863709-DCE0-571D-11D0-775AFD700ED8}"/>
            </a:ext>
          </a:extLst>
        </xdr:cNvPr>
        <xdr:cNvSpPr/>
      </xdr:nvSpPr>
      <xdr:spPr>
        <a:xfrm>
          <a:off x="6705600" y="190500"/>
          <a:ext cx="3200400" cy="356616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396240</xdr:colOff>
      <xdr:row>1</xdr:row>
      <xdr:rowOff>13335</xdr:rowOff>
    </xdr:from>
    <xdr:to>
      <xdr:col>26</xdr:col>
      <xdr:colOff>548640</xdr:colOff>
      <xdr:row>19</xdr:row>
      <xdr:rowOff>150495</xdr:rowOff>
    </xdr:to>
    <xdr:sp macro="" textlink="">
      <xdr:nvSpPr>
        <xdr:cNvPr id="12" name="Rectangle 11">
          <a:extLst>
            <a:ext uri="{FF2B5EF4-FFF2-40B4-BE49-F238E27FC236}">
              <a16:creationId xmlns:a16="http://schemas.microsoft.com/office/drawing/2014/main" id="{212BA9AC-147D-4476-B13E-93E4B610387E}"/>
            </a:ext>
          </a:extLst>
        </xdr:cNvPr>
        <xdr:cNvSpPr/>
      </xdr:nvSpPr>
      <xdr:spPr>
        <a:xfrm>
          <a:off x="13197840" y="203835"/>
          <a:ext cx="3200400" cy="356616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190500</xdr:colOff>
      <xdr:row>1</xdr:row>
      <xdr:rowOff>9525</xdr:rowOff>
    </xdr:from>
    <xdr:to>
      <xdr:col>21</xdr:col>
      <xdr:colOff>342900</xdr:colOff>
      <xdr:row>19</xdr:row>
      <xdr:rowOff>146685</xdr:rowOff>
    </xdr:to>
    <xdr:sp macro="" textlink="">
      <xdr:nvSpPr>
        <xdr:cNvPr id="13" name="Rectangle 12">
          <a:extLst>
            <a:ext uri="{FF2B5EF4-FFF2-40B4-BE49-F238E27FC236}">
              <a16:creationId xmlns:a16="http://schemas.microsoft.com/office/drawing/2014/main" id="{BB03AC1B-136D-454E-A63E-D70C76DBAC1C}"/>
            </a:ext>
          </a:extLst>
        </xdr:cNvPr>
        <xdr:cNvSpPr/>
      </xdr:nvSpPr>
      <xdr:spPr>
        <a:xfrm>
          <a:off x="9944100" y="200025"/>
          <a:ext cx="3200400" cy="356616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19</xdr:row>
      <xdr:rowOff>144780</xdr:rowOff>
    </xdr:from>
    <xdr:to>
      <xdr:col>16</xdr:col>
      <xdr:colOff>152400</xdr:colOff>
      <xdr:row>38</xdr:row>
      <xdr:rowOff>0</xdr:rowOff>
    </xdr:to>
    <xdr:sp macro="" textlink="">
      <xdr:nvSpPr>
        <xdr:cNvPr id="14" name="Rectangle 13">
          <a:extLst>
            <a:ext uri="{FF2B5EF4-FFF2-40B4-BE49-F238E27FC236}">
              <a16:creationId xmlns:a16="http://schemas.microsoft.com/office/drawing/2014/main" id="{1619F0D6-696A-45B4-B233-1A59C749A795}"/>
            </a:ext>
          </a:extLst>
        </xdr:cNvPr>
        <xdr:cNvSpPr/>
      </xdr:nvSpPr>
      <xdr:spPr>
        <a:xfrm>
          <a:off x="6705600" y="3764280"/>
          <a:ext cx="3200400" cy="347472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190500</xdr:colOff>
      <xdr:row>19</xdr:row>
      <xdr:rowOff>144780</xdr:rowOff>
    </xdr:from>
    <xdr:to>
      <xdr:col>21</xdr:col>
      <xdr:colOff>342900</xdr:colOff>
      <xdr:row>38</xdr:row>
      <xdr:rowOff>0</xdr:rowOff>
    </xdr:to>
    <xdr:sp macro="" textlink="">
      <xdr:nvSpPr>
        <xdr:cNvPr id="15" name="Rectangle 14">
          <a:extLst>
            <a:ext uri="{FF2B5EF4-FFF2-40B4-BE49-F238E27FC236}">
              <a16:creationId xmlns:a16="http://schemas.microsoft.com/office/drawing/2014/main" id="{E7A2EF50-87F0-4AE9-B545-61878611A43B}"/>
            </a:ext>
          </a:extLst>
        </xdr:cNvPr>
        <xdr:cNvSpPr/>
      </xdr:nvSpPr>
      <xdr:spPr>
        <a:xfrm>
          <a:off x="9944100" y="3764280"/>
          <a:ext cx="3200400" cy="347472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396240</xdr:colOff>
      <xdr:row>19</xdr:row>
      <xdr:rowOff>144780</xdr:rowOff>
    </xdr:from>
    <xdr:to>
      <xdr:col>26</xdr:col>
      <xdr:colOff>548640</xdr:colOff>
      <xdr:row>38</xdr:row>
      <xdr:rowOff>0</xdr:rowOff>
    </xdr:to>
    <xdr:sp macro="" textlink="">
      <xdr:nvSpPr>
        <xdr:cNvPr id="16" name="Rectangle 15">
          <a:extLst>
            <a:ext uri="{FF2B5EF4-FFF2-40B4-BE49-F238E27FC236}">
              <a16:creationId xmlns:a16="http://schemas.microsoft.com/office/drawing/2014/main" id="{F9DE7E84-32B8-4585-89E5-6556AFCDAF1C}"/>
            </a:ext>
          </a:extLst>
        </xdr:cNvPr>
        <xdr:cNvSpPr/>
      </xdr:nvSpPr>
      <xdr:spPr>
        <a:xfrm>
          <a:off x="13197840" y="3764280"/>
          <a:ext cx="3200400" cy="347472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3</xdr:row>
      <xdr:rowOff>160020</xdr:rowOff>
    </xdr:from>
    <xdr:to>
      <xdr:col>3</xdr:col>
      <xdr:colOff>41910</xdr:colOff>
      <xdr:row>9</xdr:row>
      <xdr:rowOff>22860</xdr:rowOff>
    </xdr:to>
    <xdr:sp macro="" textlink="ANALYSIS!D33">
      <xdr:nvSpPr>
        <xdr:cNvPr id="17" name="Rectangle: Rounded Corners 16">
          <a:extLst>
            <a:ext uri="{FF2B5EF4-FFF2-40B4-BE49-F238E27FC236}">
              <a16:creationId xmlns:a16="http://schemas.microsoft.com/office/drawing/2014/main" id="{5DD275CA-B738-C8ED-63DE-811E609A1E4B}"/>
            </a:ext>
          </a:extLst>
        </xdr:cNvPr>
        <xdr:cNvSpPr/>
      </xdr:nvSpPr>
      <xdr:spPr>
        <a:xfrm>
          <a:off x="133350" y="731520"/>
          <a:ext cx="1737360" cy="1005840"/>
        </a:xfrm>
        <a:prstGeom prst="roundRect">
          <a:avLst/>
        </a:prstGeom>
        <a:solidFill>
          <a:srgbClr val="1F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8A04326-4407-46CD-A089-CCD568C457CA}" type="TxLink">
            <a:rPr lang="en-US" sz="2400" b="1" i="0" u="none" strike="noStrike">
              <a:solidFill>
                <a:schemeClr val="bg1"/>
              </a:solidFill>
              <a:latin typeface="Calibri"/>
              <a:ea typeface="Calibri"/>
              <a:cs typeface="Calibri"/>
            </a:rPr>
            <a:pPr algn="ctr"/>
            <a:t>15</a:t>
          </a:fld>
          <a:endParaRPr lang="en-US" sz="2400" b="1">
            <a:solidFill>
              <a:schemeClr val="bg1"/>
            </a:solidFill>
          </a:endParaRPr>
        </a:p>
      </xdr:txBody>
    </xdr:sp>
    <xdr:clientData/>
  </xdr:twoCellAnchor>
  <xdr:twoCellAnchor>
    <xdr:from>
      <xdr:col>1</xdr:col>
      <xdr:colOff>400050</xdr:colOff>
      <xdr:row>9</xdr:row>
      <xdr:rowOff>87630</xdr:rowOff>
    </xdr:from>
    <xdr:to>
      <xdr:col>4</xdr:col>
      <xdr:colOff>308610</xdr:colOff>
      <xdr:row>14</xdr:row>
      <xdr:rowOff>140970</xdr:rowOff>
    </xdr:to>
    <xdr:sp macro="" textlink="ANALYSIS!G34">
      <xdr:nvSpPr>
        <xdr:cNvPr id="20" name="Rectangle: Rounded Corners 19">
          <a:extLst>
            <a:ext uri="{FF2B5EF4-FFF2-40B4-BE49-F238E27FC236}">
              <a16:creationId xmlns:a16="http://schemas.microsoft.com/office/drawing/2014/main" id="{8DD385CA-9D8D-4A14-97A5-5CEDB1BA137D}"/>
            </a:ext>
          </a:extLst>
        </xdr:cNvPr>
        <xdr:cNvSpPr/>
      </xdr:nvSpPr>
      <xdr:spPr>
        <a:xfrm>
          <a:off x="1009650" y="1802130"/>
          <a:ext cx="1737360" cy="1005840"/>
        </a:xfrm>
        <a:prstGeom prst="roundRect">
          <a:avLst/>
        </a:prstGeom>
        <a:solidFill>
          <a:srgbClr val="1F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0D1FCAC-09A8-48CF-B0DF-7573FA27EEEC}" type="TxLink">
            <a:rPr lang="en-US" sz="2400" b="1" i="0" u="none" strike="noStrike">
              <a:solidFill>
                <a:schemeClr val="bg1"/>
              </a:solidFill>
              <a:latin typeface="Calibri"/>
              <a:ea typeface="Calibri"/>
              <a:cs typeface="Calibri"/>
            </a:rPr>
            <a:pPr algn="ctr"/>
            <a:t> </a:t>
          </a:fld>
          <a:endParaRPr lang="en-US" sz="2400" b="1">
            <a:solidFill>
              <a:schemeClr val="bg1"/>
            </a:solidFill>
          </a:endParaRPr>
        </a:p>
      </xdr:txBody>
    </xdr:sp>
    <xdr:clientData/>
  </xdr:twoCellAnchor>
  <xdr:twoCellAnchor>
    <xdr:from>
      <xdr:col>4</xdr:col>
      <xdr:colOff>438150</xdr:colOff>
      <xdr:row>9</xdr:row>
      <xdr:rowOff>87630</xdr:rowOff>
    </xdr:from>
    <xdr:to>
      <xdr:col>7</xdr:col>
      <xdr:colOff>346710</xdr:colOff>
      <xdr:row>14</xdr:row>
      <xdr:rowOff>140970</xdr:rowOff>
    </xdr:to>
    <xdr:sp macro="" textlink="ANALYSIS!O33">
      <xdr:nvSpPr>
        <xdr:cNvPr id="21" name="Rectangle: Rounded Corners 20">
          <a:extLst>
            <a:ext uri="{FF2B5EF4-FFF2-40B4-BE49-F238E27FC236}">
              <a16:creationId xmlns:a16="http://schemas.microsoft.com/office/drawing/2014/main" id="{9EAE021D-9F35-49EE-8663-B80485E2D286}"/>
            </a:ext>
          </a:extLst>
        </xdr:cNvPr>
        <xdr:cNvSpPr/>
      </xdr:nvSpPr>
      <xdr:spPr>
        <a:xfrm>
          <a:off x="2876550" y="1802130"/>
          <a:ext cx="1737360" cy="1005840"/>
        </a:xfrm>
        <a:prstGeom prst="roundRect">
          <a:avLst/>
        </a:prstGeom>
        <a:solidFill>
          <a:srgbClr val="1F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AF12F33-D00E-44FB-BCA2-EC5E27D98F3B}" type="TxLink">
            <a:rPr lang="en-US" sz="2400" b="1" i="0" u="none" strike="noStrike">
              <a:solidFill>
                <a:schemeClr val="bg1"/>
              </a:solidFill>
              <a:latin typeface="Calibri"/>
              <a:ea typeface="Calibri"/>
              <a:cs typeface="Calibri"/>
            </a:rPr>
            <a:pPr algn="ctr"/>
            <a:t>5.6</a:t>
          </a:fld>
          <a:endParaRPr lang="en-US" sz="2400" b="1">
            <a:solidFill>
              <a:schemeClr val="bg1"/>
            </a:solidFill>
          </a:endParaRPr>
        </a:p>
      </xdr:txBody>
    </xdr:sp>
    <xdr:clientData/>
  </xdr:twoCellAnchor>
  <xdr:twoCellAnchor>
    <xdr:from>
      <xdr:col>3</xdr:col>
      <xdr:colOff>171450</xdr:colOff>
      <xdr:row>3</xdr:row>
      <xdr:rowOff>142875</xdr:rowOff>
    </xdr:from>
    <xdr:to>
      <xdr:col>6</xdr:col>
      <xdr:colOff>80010</xdr:colOff>
      <xdr:row>9</xdr:row>
      <xdr:rowOff>5715</xdr:rowOff>
    </xdr:to>
    <xdr:sp macro="" textlink="ANALYSIS!B33">
      <xdr:nvSpPr>
        <xdr:cNvPr id="22" name="Rectangle: Rounded Corners 21">
          <a:extLst>
            <a:ext uri="{FF2B5EF4-FFF2-40B4-BE49-F238E27FC236}">
              <a16:creationId xmlns:a16="http://schemas.microsoft.com/office/drawing/2014/main" id="{1CB78A64-C30C-4418-8D8C-E0BA21CA05AA}"/>
            </a:ext>
          </a:extLst>
        </xdr:cNvPr>
        <xdr:cNvSpPr/>
      </xdr:nvSpPr>
      <xdr:spPr>
        <a:xfrm>
          <a:off x="2000250" y="714375"/>
          <a:ext cx="1737360" cy="1005840"/>
        </a:xfrm>
        <a:prstGeom prst="roundRect">
          <a:avLst/>
        </a:prstGeom>
        <a:solidFill>
          <a:srgbClr val="1F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7F6B2C8-07E3-49D4-8139-5D9C1F7755FF}" type="TxLink">
            <a:rPr lang="en-US" sz="2400" b="1" i="0" u="none" strike="noStrike">
              <a:solidFill>
                <a:schemeClr val="bg1"/>
              </a:solidFill>
              <a:latin typeface="Calibri"/>
              <a:ea typeface="Calibri"/>
              <a:cs typeface="Calibri"/>
            </a:rPr>
            <a:pPr algn="ctr"/>
            <a:t> $76,850 </a:t>
          </a:fld>
          <a:endParaRPr lang="en-US" sz="2400" b="1">
            <a:solidFill>
              <a:schemeClr val="bg1"/>
            </a:solidFill>
          </a:endParaRPr>
        </a:p>
      </xdr:txBody>
    </xdr:sp>
    <xdr:clientData/>
  </xdr:twoCellAnchor>
  <xdr:twoCellAnchor>
    <xdr:from>
      <xdr:col>6</xdr:col>
      <xdr:colOff>257175</xdr:colOff>
      <xdr:row>3</xdr:row>
      <xdr:rowOff>142875</xdr:rowOff>
    </xdr:from>
    <xdr:to>
      <xdr:col>9</xdr:col>
      <xdr:colOff>165735</xdr:colOff>
      <xdr:row>9</xdr:row>
      <xdr:rowOff>5715</xdr:rowOff>
    </xdr:to>
    <xdr:sp macro="" textlink="#REF!">
      <xdr:nvSpPr>
        <xdr:cNvPr id="23" name="Rectangle: Rounded Corners 22">
          <a:extLst>
            <a:ext uri="{FF2B5EF4-FFF2-40B4-BE49-F238E27FC236}">
              <a16:creationId xmlns:a16="http://schemas.microsoft.com/office/drawing/2014/main" id="{4D129315-EB7F-46D3-9717-AEE790C66284}"/>
            </a:ext>
          </a:extLst>
        </xdr:cNvPr>
        <xdr:cNvSpPr/>
      </xdr:nvSpPr>
      <xdr:spPr>
        <a:xfrm>
          <a:off x="3914775" y="714375"/>
          <a:ext cx="1737360" cy="1005840"/>
        </a:xfrm>
        <a:prstGeom prst="roundRect">
          <a:avLst/>
        </a:prstGeom>
        <a:solidFill>
          <a:srgbClr val="1F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EF53E6D-01A9-460F-9804-EFD276BCAD5C}" type="TxLink">
            <a:rPr lang="en-US" sz="2400" b="1" i="0" u="none" strike="noStrike">
              <a:solidFill>
                <a:schemeClr val="bg1"/>
              </a:solidFill>
              <a:latin typeface="Calibri"/>
              <a:ea typeface="Calibri"/>
              <a:cs typeface="Calibri"/>
            </a:rPr>
            <a:pPr algn="ctr"/>
            <a:t> </a:t>
          </a:fld>
          <a:endParaRPr lang="en-US" sz="2400" b="1">
            <a:solidFill>
              <a:schemeClr val="bg1"/>
            </a:solidFill>
          </a:endParaRPr>
        </a:p>
      </xdr:txBody>
    </xdr:sp>
    <xdr:clientData/>
  </xdr:twoCellAnchor>
  <xdr:twoCellAnchor>
    <xdr:from>
      <xdr:col>0</xdr:col>
      <xdr:colOff>438150</xdr:colOff>
      <xdr:row>4</xdr:row>
      <xdr:rowOff>131445</xdr:rowOff>
    </xdr:from>
    <xdr:to>
      <xdr:col>2</xdr:col>
      <xdr:colOff>438150</xdr:colOff>
      <xdr:row>6</xdr:row>
      <xdr:rowOff>131445</xdr:rowOff>
    </xdr:to>
    <xdr:sp macro="" textlink="">
      <xdr:nvSpPr>
        <xdr:cNvPr id="24" name="TextBox 23">
          <a:extLst>
            <a:ext uri="{FF2B5EF4-FFF2-40B4-BE49-F238E27FC236}">
              <a16:creationId xmlns:a16="http://schemas.microsoft.com/office/drawing/2014/main" id="{BFDD239E-4E10-A970-E123-6EDDD6E69685}"/>
            </a:ext>
          </a:extLst>
        </xdr:cNvPr>
        <xdr:cNvSpPr txBox="1"/>
      </xdr:nvSpPr>
      <xdr:spPr>
        <a:xfrm>
          <a:off x="438150" y="893445"/>
          <a:ext cx="1219200" cy="381000"/>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CBD5E1"/>
              </a:solidFill>
            </a:rPr>
            <a:t>TOTAL PATIENTS</a:t>
          </a:r>
        </a:p>
      </xdr:txBody>
    </xdr:sp>
    <xdr:clientData/>
  </xdr:twoCellAnchor>
  <xdr:twoCellAnchor>
    <xdr:from>
      <xdr:col>3</xdr:col>
      <xdr:colOff>409575</xdr:colOff>
      <xdr:row>4</xdr:row>
      <xdr:rowOff>131445</xdr:rowOff>
    </xdr:from>
    <xdr:to>
      <xdr:col>5</xdr:col>
      <xdr:colOff>581025</xdr:colOff>
      <xdr:row>6</xdr:row>
      <xdr:rowOff>72390</xdr:rowOff>
    </xdr:to>
    <xdr:sp macro="" textlink="">
      <xdr:nvSpPr>
        <xdr:cNvPr id="23553" name="Text Box 1">
          <a:extLst>
            <a:ext uri="{FF2B5EF4-FFF2-40B4-BE49-F238E27FC236}">
              <a16:creationId xmlns:a16="http://schemas.microsoft.com/office/drawing/2014/main" id="{2206D8BD-C7C7-7704-FE57-9F1BA4094DF7}"/>
            </a:ext>
          </a:extLst>
        </xdr:cNvPr>
        <xdr:cNvSpPr txBox="1">
          <a:spLocks noChangeArrowheads="1"/>
        </xdr:cNvSpPr>
      </xdr:nvSpPr>
      <xdr:spPr bwMode="auto">
        <a:xfrm>
          <a:off x="2238375" y="893445"/>
          <a:ext cx="1390650" cy="321945"/>
        </a:xfrm>
        <a:prstGeom prst="rect">
          <a:avLst/>
        </a:prstGeom>
        <a:solidFill>
          <a:srgbClr val="1F3A5F"/>
        </a:solidFill>
        <a:ln w="9525">
          <a:noFill/>
          <a:miter lim="800000"/>
          <a:headEnd/>
          <a:tailEnd/>
        </a:ln>
      </xdr:spPr>
      <xdr:txBody>
        <a:bodyPr vertOverflow="clip" wrap="square" lIns="27432" tIns="27432" rIns="0" bIns="0" anchor="t" upright="1"/>
        <a:lstStyle/>
        <a:p>
          <a:pPr algn="ctr" rtl="0">
            <a:defRPr sz="1000"/>
          </a:pPr>
          <a:r>
            <a:rPr lang="en-US" sz="1100" b="1" i="0" u="none" strike="noStrike" baseline="0">
              <a:solidFill>
                <a:srgbClr val="CBD5E1"/>
              </a:solidFill>
              <a:latin typeface="Calibri"/>
              <a:ea typeface="Calibri"/>
              <a:cs typeface="Calibri"/>
            </a:rPr>
            <a:t>TOTAL REVENUE</a:t>
          </a:r>
        </a:p>
      </xdr:txBody>
    </xdr:sp>
    <xdr:clientData/>
  </xdr:twoCellAnchor>
  <xdr:twoCellAnchor>
    <xdr:from>
      <xdr:col>6</xdr:col>
      <xdr:colOff>381000</xdr:colOff>
      <xdr:row>4</xdr:row>
      <xdr:rowOff>110491</xdr:rowOff>
    </xdr:from>
    <xdr:to>
      <xdr:col>9</xdr:col>
      <xdr:colOff>104775</xdr:colOff>
      <xdr:row>6</xdr:row>
      <xdr:rowOff>72391</xdr:rowOff>
    </xdr:to>
    <xdr:sp macro="" textlink="">
      <xdr:nvSpPr>
        <xdr:cNvPr id="23554" name="Text Box 2">
          <a:extLst>
            <a:ext uri="{FF2B5EF4-FFF2-40B4-BE49-F238E27FC236}">
              <a16:creationId xmlns:a16="http://schemas.microsoft.com/office/drawing/2014/main" id="{2B75D1FB-D5EE-797A-05B0-BFF1B30442F0}"/>
            </a:ext>
          </a:extLst>
        </xdr:cNvPr>
        <xdr:cNvSpPr txBox="1">
          <a:spLocks noChangeArrowheads="1"/>
        </xdr:cNvSpPr>
      </xdr:nvSpPr>
      <xdr:spPr bwMode="auto">
        <a:xfrm>
          <a:off x="4038600" y="872491"/>
          <a:ext cx="1552575" cy="342900"/>
        </a:xfrm>
        <a:prstGeom prst="rect">
          <a:avLst/>
        </a:prstGeom>
        <a:solidFill>
          <a:srgbClr val="1F3A5F"/>
        </a:solidFill>
        <a:ln w="9525">
          <a:noFill/>
          <a:miter lim="800000"/>
          <a:headEnd/>
          <a:tailEnd/>
        </a:ln>
      </xdr:spPr>
      <xdr:txBody>
        <a:bodyPr vertOverflow="clip" wrap="square" lIns="27432" tIns="27432" rIns="0" bIns="0" anchor="t" upright="1"/>
        <a:lstStyle/>
        <a:p>
          <a:pPr algn="ctr" rtl="0">
            <a:defRPr sz="1000"/>
          </a:pPr>
          <a:r>
            <a:rPr lang="en-US" sz="1100" b="1" i="0" u="none" strike="noStrike" baseline="0">
              <a:solidFill>
                <a:srgbClr val="CBD5E1"/>
              </a:solidFill>
              <a:latin typeface="Calibri"/>
              <a:ea typeface="Calibri"/>
              <a:cs typeface="Calibri"/>
            </a:rPr>
            <a:t>MORTALITY RATE</a:t>
          </a:r>
        </a:p>
      </xdr:txBody>
    </xdr:sp>
    <xdr:clientData/>
  </xdr:twoCellAnchor>
  <xdr:twoCellAnchor>
    <xdr:from>
      <xdr:col>1</xdr:col>
      <xdr:colOff>485775</xdr:colOff>
      <xdr:row>10</xdr:row>
      <xdr:rowOff>19046</xdr:rowOff>
    </xdr:from>
    <xdr:to>
      <xdr:col>4</xdr:col>
      <xdr:colOff>276225</xdr:colOff>
      <xdr:row>12</xdr:row>
      <xdr:rowOff>104771</xdr:rowOff>
    </xdr:to>
    <xdr:sp macro="" textlink="">
      <xdr:nvSpPr>
        <xdr:cNvPr id="25" name="TextBox 24">
          <a:extLst>
            <a:ext uri="{FF2B5EF4-FFF2-40B4-BE49-F238E27FC236}">
              <a16:creationId xmlns:a16="http://schemas.microsoft.com/office/drawing/2014/main" id="{BD06E25A-0FCA-FEAB-D409-769985AF351C}"/>
            </a:ext>
          </a:extLst>
        </xdr:cNvPr>
        <xdr:cNvSpPr txBox="1"/>
      </xdr:nvSpPr>
      <xdr:spPr>
        <a:xfrm>
          <a:off x="1095375" y="1924046"/>
          <a:ext cx="1619250" cy="466725"/>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CBD5E1"/>
              </a:solidFill>
            </a:rPr>
            <a:t>AVG SATISFACTION SCORE</a:t>
          </a:r>
        </a:p>
      </xdr:txBody>
    </xdr:sp>
    <xdr:clientData/>
  </xdr:twoCellAnchor>
  <xdr:twoCellAnchor>
    <xdr:from>
      <xdr:col>4</xdr:col>
      <xdr:colOff>542925</xdr:colOff>
      <xdr:row>10</xdr:row>
      <xdr:rowOff>66667</xdr:rowOff>
    </xdr:from>
    <xdr:to>
      <xdr:col>7</xdr:col>
      <xdr:colOff>266701</xdr:colOff>
      <xdr:row>12</xdr:row>
      <xdr:rowOff>19046</xdr:rowOff>
    </xdr:to>
    <xdr:sp macro="" textlink="">
      <xdr:nvSpPr>
        <xdr:cNvPr id="26" name="TextBox 25">
          <a:extLst>
            <a:ext uri="{FF2B5EF4-FFF2-40B4-BE49-F238E27FC236}">
              <a16:creationId xmlns:a16="http://schemas.microsoft.com/office/drawing/2014/main" id="{8DDFA67C-D618-D888-FA1A-3B96EBBA2336}"/>
            </a:ext>
          </a:extLst>
        </xdr:cNvPr>
        <xdr:cNvSpPr txBox="1"/>
      </xdr:nvSpPr>
      <xdr:spPr>
        <a:xfrm>
          <a:off x="2981325" y="1971667"/>
          <a:ext cx="1552576" cy="333379"/>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CBD5E1"/>
              </a:solidFill>
            </a:rPr>
            <a:t>AVG LENGTH OF STAY</a:t>
          </a:r>
        </a:p>
      </xdr:txBody>
    </xdr:sp>
    <xdr:clientData/>
  </xdr:twoCellAnchor>
  <xdr:twoCellAnchor>
    <xdr:from>
      <xdr:col>11</xdr:col>
      <xdr:colOff>0</xdr:colOff>
      <xdr:row>4</xdr:row>
      <xdr:rowOff>0</xdr:rowOff>
    </xdr:from>
    <xdr:to>
      <xdr:col>16</xdr:col>
      <xdr:colOff>60960</xdr:colOff>
      <xdr:row>19</xdr:row>
      <xdr:rowOff>45720</xdr:rowOff>
    </xdr:to>
    <xdr:graphicFrame macro="">
      <xdr:nvGraphicFramePr>
        <xdr:cNvPr id="27" name="Chart 26">
          <a:extLst>
            <a:ext uri="{FF2B5EF4-FFF2-40B4-BE49-F238E27FC236}">
              <a16:creationId xmlns:a16="http://schemas.microsoft.com/office/drawing/2014/main" id="{983F95E5-F88B-46B1-83C0-6DE7762F1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xdr:row>
      <xdr:rowOff>13335</xdr:rowOff>
    </xdr:from>
    <xdr:to>
      <xdr:col>15</xdr:col>
      <xdr:colOff>0</xdr:colOff>
      <xdr:row>3</xdr:row>
      <xdr:rowOff>0</xdr:rowOff>
    </xdr:to>
    <xdr:sp macro="" textlink="">
      <xdr:nvSpPr>
        <xdr:cNvPr id="28" name="TextBox 27">
          <a:extLst>
            <a:ext uri="{FF2B5EF4-FFF2-40B4-BE49-F238E27FC236}">
              <a16:creationId xmlns:a16="http://schemas.microsoft.com/office/drawing/2014/main" id="{232944FE-A147-5F8E-BD7A-90C82AF2CC4A}"/>
            </a:ext>
          </a:extLst>
        </xdr:cNvPr>
        <xdr:cNvSpPr txBox="1"/>
      </xdr:nvSpPr>
      <xdr:spPr>
        <a:xfrm>
          <a:off x="6705600" y="203835"/>
          <a:ext cx="2438400" cy="3676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rgbClr val="334155"/>
              </a:solidFill>
            </a:rPr>
            <a:t>AVERAGE LENGTH OF STAY BY DEPARTMENT</a:t>
          </a:r>
          <a:endParaRPr lang="en-US" sz="1100" b="1">
            <a:solidFill>
              <a:srgbClr val="334155"/>
            </a:solidFill>
          </a:endParaRPr>
        </a:p>
      </xdr:txBody>
    </xdr:sp>
    <xdr:clientData/>
  </xdr:twoCellAnchor>
  <xdr:twoCellAnchor>
    <xdr:from>
      <xdr:col>16</xdr:col>
      <xdr:colOff>190500</xdr:colOff>
      <xdr:row>4</xdr:row>
      <xdr:rowOff>110491</xdr:rowOff>
    </xdr:from>
    <xdr:to>
      <xdr:col>21</xdr:col>
      <xdr:colOff>342900</xdr:colOff>
      <xdr:row>19</xdr:row>
      <xdr:rowOff>59055</xdr:rowOff>
    </xdr:to>
    <xdr:graphicFrame macro="">
      <xdr:nvGraphicFramePr>
        <xdr:cNvPr id="30" name="Chart 29">
          <a:extLst>
            <a:ext uri="{FF2B5EF4-FFF2-40B4-BE49-F238E27FC236}">
              <a16:creationId xmlns:a16="http://schemas.microsoft.com/office/drawing/2014/main" id="{60B2879B-2F60-4B8B-828A-74A33BEC7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190500</xdr:colOff>
      <xdr:row>1</xdr:row>
      <xdr:rowOff>32385</xdr:rowOff>
    </xdr:from>
    <xdr:to>
      <xdr:col>21</xdr:col>
      <xdr:colOff>0</xdr:colOff>
      <xdr:row>3</xdr:row>
      <xdr:rowOff>19050</xdr:rowOff>
    </xdr:to>
    <xdr:sp macro="" textlink="">
      <xdr:nvSpPr>
        <xdr:cNvPr id="31" name="TextBox 30">
          <a:extLst>
            <a:ext uri="{FF2B5EF4-FFF2-40B4-BE49-F238E27FC236}">
              <a16:creationId xmlns:a16="http://schemas.microsoft.com/office/drawing/2014/main" id="{649FA3B1-986C-769F-DD15-25DA61682630}"/>
            </a:ext>
          </a:extLst>
        </xdr:cNvPr>
        <xdr:cNvSpPr txBox="1"/>
      </xdr:nvSpPr>
      <xdr:spPr>
        <a:xfrm>
          <a:off x="9944100" y="222885"/>
          <a:ext cx="2857500" cy="3676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a:solidFill>
                <a:srgbClr val="334155"/>
              </a:solidFill>
            </a:rPr>
            <a:t>PATIENT VOLUME BY DEPARTMENT</a:t>
          </a:r>
        </a:p>
      </xdr:txBody>
    </xdr:sp>
    <xdr:clientData/>
  </xdr:twoCellAnchor>
  <xdr:twoCellAnchor>
    <xdr:from>
      <xdr:col>21</xdr:col>
      <xdr:colOff>396240</xdr:colOff>
      <xdr:row>4</xdr:row>
      <xdr:rowOff>169545</xdr:rowOff>
    </xdr:from>
    <xdr:to>
      <xdr:col>26</xdr:col>
      <xdr:colOff>548640</xdr:colOff>
      <xdr:row>19</xdr:row>
      <xdr:rowOff>55245</xdr:rowOff>
    </xdr:to>
    <xdr:graphicFrame macro="">
      <xdr:nvGraphicFramePr>
        <xdr:cNvPr id="32" name="Chart 31">
          <a:extLst>
            <a:ext uri="{FF2B5EF4-FFF2-40B4-BE49-F238E27FC236}">
              <a16:creationId xmlns:a16="http://schemas.microsoft.com/office/drawing/2014/main" id="{75FB3C0E-D1DC-4732-A252-174A0B9F7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457200</xdr:colOff>
      <xdr:row>1</xdr:row>
      <xdr:rowOff>76200</xdr:rowOff>
    </xdr:from>
    <xdr:to>
      <xdr:col>26</xdr:col>
      <xdr:colOff>548640</xdr:colOff>
      <xdr:row>3</xdr:row>
      <xdr:rowOff>28575</xdr:rowOff>
    </xdr:to>
    <xdr:sp macro="" textlink="">
      <xdr:nvSpPr>
        <xdr:cNvPr id="33" name="TextBox 32">
          <a:extLst>
            <a:ext uri="{FF2B5EF4-FFF2-40B4-BE49-F238E27FC236}">
              <a16:creationId xmlns:a16="http://schemas.microsoft.com/office/drawing/2014/main" id="{645EEF08-241B-1F20-CE55-7D12ECBCE699}"/>
            </a:ext>
          </a:extLst>
        </xdr:cNvPr>
        <xdr:cNvSpPr txBox="1"/>
      </xdr:nvSpPr>
      <xdr:spPr>
        <a:xfrm>
          <a:off x="13258800" y="266700"/>
          <a:ext cx="313944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a:solidFill>
                <a:srgbClr val="334155"/>
              </a:solidFill>
            </a:rPr>
            <a:t>AVERAGE SATISFACTION SCORE ACROSS</a:t>
          </a:r>
          <a:r>
            <a:rPr lang="en-US" sz="900" b="1" baseline="0">
              <a:solidFill>
                <a:srgbClr val="334155"/>
              </a:solidFill>
            </a:rPr>
            <a:t> DEPARTMENTS</a:t>
          </a:r>
          <a:endParaRPr lang="en-US" sz="1100" b="1">
            <a:solidFill>
              <a:srgbClr val="334155"/>
            </a:solidFill>
          </a:endParaRPr>
        </a:p>
      </xdr:txBody>
    </xdr:sp>
    <xdr:clientData/>
  </xdr:twoCellAnchor>
  <xdr:twoCellAnchor>
    <xdr:from>
      <xdr:col>11</xdr:col>
      <xdr:colOff>0</xdr:colOff>
      <xdr:row>23</xdr:row>
      <xdr:rowOff>114300</xdr:rowOff>
    </xdr:from>
    <xdr:to>
      <xdr:col>16</xdr:col>
      <xdr:colOff>152400</xdr:colOff>
      <xdr:row>38</xdr:row>
      <xdr:rowOff>0</xdr:rowOff>
    </xdr:to>
    <xdr:graphicFrame macro="">
      <xdr:nvGraphicFramePr>
        <xdr:cNvPr id="34" name="Chart 33">
          <a:extLst>
            <a:ext uri="{FF2B5EF4-FFF2-40B4-BE49-F238E27FC236}">
              <a16:creationId xmlns:a16="http://schemas.microsoft.com/office/drawing/2014/main" id="{4DAACF91-3D6D-4A4B-B19C-1FA3CA0AA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20</xdr:row>
      <xdr:rowOff>0</xdr:rowOff>
    </xdr:from>
    <xdr:to>
      <xdr:col>16</xdr:col>
      <xdr:colOff>0</xdr:colOff>
      <xdr:row>22</xdr:row>
      <xdr:rowOff>0</xdr:rowOff>
    </xdr:to>
    <xdr:sp macro="" textlink="">
      <xdr:nvSpPr>
        <xdr:cNvPr id="35" name="TextBox 34">
          <a:extLst>
            <a:ext uri="{FF2B5EF4-FFF2-40B4-BE49-F238E27FC236}">
              <a16:creationId xmlns:a16="http://schemas.microsoft.com/office/drawing/2014/main" id="{D2C9ACC9-B0E2-81AF-D3E5-5DE3B253C7BA}"/>
            </a:ext>
          </a:extLst>
        </xdr:cNvPr>
        <xdr:cNvSpPr txBox="1"/>
      </xdr:nvSpPr>
      <xdr:spPr>
        <a:xfrm>
          <a:off x="6705600" y="3810000"/>
          <a:ext cx="30480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a:solidFill>
                <a:srgbClr val="334155"/>
              </a:solidFill>
            </a:rPr>
            <a:t>PERCENTAGE OF</a:t>
          </a:r>
          <a:r>
            <a:rPr lang="en-US" sz="900" b="1" baseline="0">
              <a:solidFill>
                <a:srgbClr val="334155"/>
              </a:solidFill>
            </a:rPr>
            <a:t> EMERGENCY ADMISSION</a:t>
          </a:r>
          <a:endParaRPr lang="en-US" sz="1100" b="1">
            <a:solidFill>
              <a:srgbClr val="334155"/>
            </a:solidFill>
          </a:endParaRPr>
        </a:p>
      </xdr:txBody>
    </xdr:sp>
    <xdr:clientData/>
  </xdr:twoCellAnchor>
  <xdr:twoCellAnchor>
    <xdr:from>
      <xdr:col>21</xdr:col>
      <xdr:colOff>396240</xdr:colOff>
      <xdr:row>23</xdr:row>
      <xdr:rowOff>104775</xdr:rowOff>
    </xdr:from>
    <xdr:to>
      <xdr:col>26</xdr:col>
      <xdr:colOff>548640</xdr:colOff>
      <xdr:row>37</xdr:row>
      <xdr:rowOff>180975</xdr:rowOff>
    </xdr:to>
    <xdr:graphicFrame macro="">
      <xdr:nvGraphicFramePr>
        <xdr:cNvPr id="36" name="Chart 35">
          <a:extLst>
            <a:ext uri="{FF2B5EF4-FFF2-40B4-BE49-F238E27FC236}">
              <a16:creationId xmlns:a16="http://schemas.microsoft.com/office/drawing/2014/main" id="{7FAE141C-BCA4-4B2D-9859-8D3D40BAE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457200</xdr:colOff>
      <xdr:row>20</xdr:row>
      <xdr:rowOff>0</xdr:rowOff>
    </xdr:from>
    <xdr:to>
      <xdr:col>26</xdr:col>
      <xdr:colOff>266700</xdr:colOff>
      <xdr:row>22</xdr:row>
      <xdr:rowOff>0</xdr:rowOff>
    </xdr:to>
    <xdr:sp macro="" textlink="">
      <xdr:nvSpPr>
        <xdr:cNvPr id="37" name="TextBox 36">
          <a:extLst>
            <a:ext uri="{FF2B5EF4-FFF2-40B4-BE49-F238E27FC236}">
              <a16:creationId xmlns:a16="http://schemas.microsoft.com/office/drawing/2014/main" id="{E61120D0-3DC8-721D-89BE-343399ED8933}"/>
            </a:ext>
          </a:extLst>
        </xdr:cNvPr>
        <xdr:cNvSpPr txBox="1"/>
      </xdr:nvSpPr>
      <xdr:spPr>
        <a:xfrm>
          <a:off x="13258800" y="3810000"/>
          <a:ext cx="28575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a:solidFill>
                <a:srgbClr val="334155"/>
              </a:solidFill>
            </a:rPr>
            <a:t>PAYMENT</a:t>
          </a:r>
          <a:r>
            <a:rPr lang="en-US" sz="900" b="1" baseline="0">
              <a:solidFill>
                <a:srgbClr val="334155"/>
              </a:solidFill>
            </a:rPr>
            <a:t> METHOD DISTRIBUTION</a:t>
          </a:r>
          <a:endParaRPr lang="en-US" sz="1100" b="1">
            <a:solidFill>
              <a:srgbClr val="334155"/>
            </a:solidFill>
          </a:endParaRPr>
        </a:p>
      </xdr:txBody>
    </xdr:sp>
    <xdr:clientData/>
  </xdr:twoCellAnchor>
  <xdr:twoCellAnchor>
    <xdr:from>
      <xdr:col>16</xdr:col>
      <xdr:colOff>194310</xdr:colOff>
      <xdr:row>23</xdr:row>
      <xdr:rowOff>104775</xdr:rowOff>
    </xdr:from>
    <xdr:to>
      <xdr:col>21</xdr:col>
      <xdr:colOff>346710</xdr:colOff>
      <xdr:row>37</xdr:row>
      <xdr:rowOff>180975</xdr:rowOff>
    </xdr:to>
    <xdr:graphicFrame macro="">
      <xdr:nvGraphicFramePr>
        <xdr:cNvPr id="38" name="Chart 37">
          <a:extLst>
            <a:ext uri="{FF2B5EF4-FFF2-40B4-BE49-F238E27FC236}">
              <a16:creationId xmlns:a16="http://schemas.microsoft.com/office/drawing/2014/main" id="{07B1C84C-D2AE-4108-B994-A3BEE7D8C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266700</xdr:colOff>
      <xdr:row>20</xdr:row>
      <xdr:rowOff>0</xdr:rowOff>
    </xdr:from>
    <xdr:to>
      <xdr:col>21</xdr:col>
      <xdr:colOff>72390</xdr:colOff>
      <xdr:row>22</xdr:row>
      <xdr:rowOff>0</xdr:rowOff>
    </xdr:to>
    <xdr:sp macro="" textlink="">
      <xdr:nvSpPr>
        <xdr:cNvPr id="39" name="TextBox 38">
          <a:extLst>
            <a:ext uri="{FF2B5EF4-FFF2-40B4-BE49-F238E27FC236}">
              <a16:creationId xmlns:a16="http://schemas.microsoft.com/office/drawing/2014/main" id="{4D06EF9E-AFC0-E2D1-0263-A8E20BC9C2D2}"/>
            </a:ext>
          </a:extLst>
        </xdr:cNvPr>
        <xdr:cNvSpPr txBox="1"/>
      </xdr:nvSpPr>
      <xdr:spPr>
        <a:xfrm>
          <a:off x="10020300" y="3810000"/>
          <a:ext cx="285369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a:solidFill>
                <a:srgbClr val="334155"/>
              </a:solidFill>
            </a:rPr>
            <a:t>AVG</a:t>
          </a:r>
          <a:r>
            <a:rPr lang="en-US" sz="900" b="1" baseline="0">
              <a:solidFill>
                <a:srgbClr val="334155"/>
              </a:solidFill>
            </a:rPr>
            <a:t> BILL AMOUNT BY INSURANCE </a:t>
          </a:r>
          <a:endParaRPr lang="en-US" sz="1100" b="1">
            <a:solidFill>
              <a:srgbClr val="334155"/>
            </a:solidFill>
          </a:endParaRPr>
        </a:p>
      </xdr:txBody>
    </xdr:sp>
    <xdr:clientData/>
  </xdr:twoCellAnchor>
  <xdr:twoCellAnchor>
    <xdr:from>
      <xdr:col>0</xdr:col>
      <xdr:colOff>68577</xdr:colOff>
      <xdr:row>16</xdr:row>
      <xdr:rowOff>0</xdr:rowOff>
    </xdr:from>
    <xdr:to>
      <xdr:col>10</xdr:col>
      <xdr:colOff>464817</xdr:colOff>
      <xdr:row>37</xdr:row>
      <xdr:rowOff>161925</xdr:rowOff>
    </xdr:to>
    <xdr:sp macro="" textlink="">
      <xdr:nvSpPr>
        <xdr:cNvPr id="40" name="Rectangle 39">
          <a:extLst>
            <a:ext uri="{FF2B5EF4-FFF2-40B4-BE49-F238E27FC236}">
              <a16:creationId xmlns:a16="http://schemas.microsoft.com/office/drawing/2014/main" id="{D5FB3529-1AE4-6C64-84EB-3789C692309E}"/>
            </a:ext>
          </a:extLst>
        </xdr:cNvPr>
        <xdr:cNvSpPr/>
      </xdr:nvSpPr>
      <xdr:spPr>
        <a:xfrm>
          <a:off x="68577" y="3048000"/>
          <a:ext cx="6492240" cy="4162425"/>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16</xdr:row>
      <xdr:rowOff>83820</xdr:rowOff>
    </xdr:from>
    <xdr:to>
      <xdr:col>7</xdr:col>
      <xdr:colOff>266701</xdr:colOff>
      <xdr:row>18</xdr:row>
      <xdr:rowOff>38100</xdr:rowOff>
    </xdr:to>
    <xdr:sp macro="" textlink="">
      <xdr:nvSpPr>
        <xdr:cNvPr id="42" name="TextBox 41">
          <a:extLst>
            <a:ext uri="{FF2B5EF4-FFF2-40B4-BE49-F238E27FC236}">
              <a16:creationId xmlns:a16="http://schemas.microsoft.com/office/drawing/2014/main" id="{848E8923-E3DB-1E07-E4AA-681874153FBD}"/>
            </a:ext>
          </a:extLst>
        </xdr:cNvPr>
        <xdr:cNvSpPr txBox="1"/>
      </xdr:nvSpPr>
      <xdr:spPr>
        <a:xfrm>
          <a:off x="152400" y="3131820"/>
          <a:ext cx="4381501"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a:solidFill>
                <a:srgbClr val="334155"/>
              </a:solidFill>
            </a:rPr>
            <a:t>PATIENT DISTRIBUTION BY AGE GROUP</a:t>
          </a:r>
          <a:endParaRPr lang="en-US" sz="1100" b="1">
            <a:solidFill>
              <a:srgbClr val="334155"/>
            </a:solidFill>
          </a:endParaRPr>
        </a:p>
      </xdr:txBody>
    </xdr:sp>
    <xdr:clientData/>
  </xdr:twoCellAnchor>
  <xdr:twoCellAnchor editAs="oneCell">
    <xdr:from>
      <xdr:col>27</xdr:col>
      <xdr:colOff>158115</xdr:colOff>
      <xdr:row>6</xdr:row>
      <xdr:rowOff>167639</xdr:rowOff>
    </xdr:from>
    <xdr:to>
      <xdr:col>29</xdr:col>
      <xdr:colOff>401955</xdr:colOff>
      <xdr:row>15</xdr:row>
      <xdr:rowOff>110948</xdr:rowOff>
    </xdr:to>
    <mc:AlternateContent xmlns:mc="http://schemas.openxmlformats.org/markup-compatibility/2006" xmlns:a14="http://schemas.microsoft.com/office/drawing/2010/main">
      <mc:Choice Requires="a14">
        <xdr:graphicFrame macro="">
          <xdr:nvGraphicFramePr>
            <xdr:cNvPr id="44" name="Department 1">
              <a:extLst>
                <a:ext uri="{FF2B5EF4-FFF2-40B4-BE49-F238E27FC236}">
                  <a16:creationId xmlns:a16="http://schemas.microsoft.com/office/drawing/2014/main" id="{FD1F5005-44E5-69D5-0441-1303817BFFF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617315" y="1310639"/>
              <a:ext cx="1463040" cy="16578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158115</xdr:colOff>
      <xdr:row>16</xdr:row>
      <xdr:rowOff>63458</xdr:rowOff>
    </xdr:from>
    <xdr:to>
      <xdr:col>29</xdr:col>
      <xdr:colOff>401955</xdr:colOff>
      <xdr:row>23</xdr:row>
      <xdr:rowOff>28575</xdr:rowOff>
    </xdr:to>
    <mc:AlternateContent xmlns:mc="http://schemas.openxmlformats.org/markup-compatibility/2006" xmlns:a14="http://schemas.microsoft.com/office/drawing/2010/main">
      <mc:Choice Requires="a14">
        <xdr:graphicFrame macro="">
          <xdr:nvGraphicFramePr>
            <xdr:cNvPr id="45" name="Treatment Type 1">
              <a:extLst>
                <a:ext uri="{FF2B5EF4-FFF2-40B4-BE49-F238E27FC236}">
                  <a16:creationId xmlns:a16="http://schemas.microsoft.com/office/drawing/2014/main" id="{2F2754DE-E304-EF8C-79E7-9A474EA7B16B}"/>
                </a:ext>
              </a:extLst>
            </xdr:cNvPr>
            <xdr:cNvGraphicFramePr/>
          </xdr:nvGraphicFramePr>
          <xdr:xfrm>
            <a:off x="0" y="0"/>
            <a:ext cx="0" cy="0"/>
          </xdr:xfrm>
          <a:graphic>
            <a:graphicData uri="http://schemas.microsoft.com/office/drawing/2010/slicer">
              <sle:slicer xmlns:sle="http://schemas.microsoft.com/office/drawing/2010/slicer" name="Treatment Type 1"/>
            </a:graphicData>
          </a:graphic>
        </xdr:graphicFrame>
      </mc:Choice>
      <mc:Fallback xmlns="">
        <xdr:sp macro="" textlink="">
          <xdr:nvSpPr>
            <xdr:cNvPr id="0" name=""/>
            <xdr:cNvSpPr>
              <a:spLocks noTextEdit="1"/>
            </xdr:cNvSpPr>
          </xdr:nvSpPr>
          <xdr:spPr>
            <a:xfrm>
              <a:off x="16617315" y="3111458"/>
              <a:ext cx="1463040" cy="1298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175260</xdr:colOff>
      <xdr:row>30</xdr:row>
      <xdr:rowOff>190499</xdr:rowOff>
    </xdr:from>
    <xdr:to>
      <xdr:col>29</xdr:col>
      <xdr:colOff>419100</xdr:colOff>
      <xdr:row>35</xdr:row>
      <xdr:rowOff>66904</xdr:rowOff>
    </xdr:to>
    <mc:AlternateContent xmlns:mc="http://schemas.openxmlformats.org/markup-compatibility/2006" xmlns:a14="http://schemas.microsoft.com/office/drawing/2010/main">
      <mc:Choice Requires="a14">
        <xdr:graphicFrame macro="">
          <xdr:nvGraphicFramePr>
            <xdr:cNvPr id="47" name="Readmission 1">
              <a:extLst>
                <a:ext uri="{FF2B5EF4-FFF2-40B4-BE49-F238E27FC236}">
                  <a16:creationId xmlns:a16="http://schemas.microsoft.com/office/drawing/2014/main" id="{71E94470-1613-FEC8-A835-5D0D25CAEF76}"/>
                </a:ext>
              </a:extLst>
            </xdr:cNvPr>
            <xdr:cNvGraphicFramePr/>
          </xdr:nvGraphicFramePr>
          <xdr:xfrm>
            <a:off x="0" y="0"/>
            <a:ext cx="0" cy="0"/>
          </xdr:xfrm>
          <a:graphic>
            <a:graphicData uri="http://schemas.microsoft.com/office/drawing/2010/slicer">
              <sle:slicer xmlns:sle="http://schemas.microsoft.com/office/drawing/2010/slicer" name="Readmission 1"/>
            </a:graphicData>
          </a:graphic>
        </xdr:graphicFrame>
      </mc:Choice>
      <mc:Fallback xmlns="">
        <xdr:sp macro="" textlink="">
          <xdr:nvSpPr>
            <xdr:cNvPr id="0" name=""/>
            <xdr:cNvSpPr>
              <a:spLocks noTextEdit="1"/>
            </xdr:cNvSpPr>
          </xdr:nvSpPr>
          <xdr:spPr>
            <a:xfrm>
              <a:off x="16634460" y="5905499"/>
              <a:ext cx="1463040" cy="828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152399</xdr:colOff>
      <xdr:row>19</xdr:row>
      <xdr:rowOff>144781</xdr:rowOff>
    </xdr:from>
    <xdr:to>
      <xdr:col>10</xdr:col>
      <xdr:colOff>281937</xdr:colOff>
      <xdr:row>37</xdr:row>
      <xdr:rowOff>161925</xdr:rowOff>
    </xdr:to>
    <xdr:graphicFrame macro="">
      <xdr:nvGraphicFramePr>
        <xdr:cNvPr id="48" name="Chart 47">
          <a:extLst>
            <a:ext uri="{FF2B5EF4-FFF2-40B4-BE49-F238E27FC236}">
              <a16:creationId xmlns:a16="http://schemas.microsoft.com/office/drawing/2014/main" id="{891768E0-9164-44B8-BAC7-5A3724C0B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27</xdr:col>
      <xdr:colOff>175260</xdr:colOff>
      <xdr:row>1</xdr:row>
      <xdr:rowOff>190499</xdr:rowOff>
    </xdr:from>
    <xdr:to>
      <xdr:col>29</xdr:col>
      <xdr:colOff>419100</xdr:colOff>
      <xdr:row>5</xdr:row>
      <xdr:rowOff>174513</xdr:rowOff>
    </xdr:to>
    <mc:AlternateContent xmlns:mc="http://schemas.openxmlformats.org/markup-compatibility/2006" xmlns:a14="http://schemas.microsoft.com/office/drawing/2010/main">
      <mc:Choice Requires="a14">
        <xdr:graphicFrame macro="">
          <xdr:nvGraphicFramePr>
            <xdr:cNvPr id="49" name="Gender 1">
              <a:extLst>
                <a:ext uri="{FF2B5EF4-FFF2-40B4-BE49-F238E27FC236}">
                  <a16:creationId xmlns:a16="http://schemas.microsoft.com/office/drawing/2014/main" id="{B9083FDE-C013-F3CB-5D94-65D6175ECA5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6634460" y="380999"/>
              <a:ext cx="1463040" cy="746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192405</xdr:colOff>
      <xdr:row>23</xdr:row>
      <xdr:rowOff>190499</xdr:rowOff>
    </xdr:from>
    <xdr:to>
      <xdr:col>29</xdr:col>
      <xdr:colOff>436245</xdr:colOff>
      <xdr:row>29</xdr:row>
      <xdr:rowOff>53339</xdr:rowOff>
    </xdr:to>
    <mc:AlternateContent xmlns:mc="http://schemas.openxmlformats.org/markup-compatibility/2006" xmlns:a14="http://schemas.microsoft.com/office/drawing/2010/main">
      <mc:Choice Requires="a14">
        <xdr:graphicFrame macro="">
          <xdr:nvGraphicFramePr>
            <xdr:cNvPr id="50" name="Payment Method 2">
              <a:extLst>
                <a:ext uri="{FF2B5EF4-FFF2-40B4-BE49-F238E27FC236}">
                  <a16:creationId xmlns:a16="http://schemas.microsoft.com/office/drawing/2014/main" id="{AA77E034-FEB7-AD29-CA95-AFE2258B0E43}"/>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16651605" y="4571999"/>
              <a:ext cx="146304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194310</xdr:colOff>
      <xdr:row>2</xdr:row>
      <xdr:rowOff>104775</xdr:rowOff>
    </xdr:from>
    <xdr:to>
      <xdr:col>21</xdr:col>
      <xdr:colOff>72390</xdr:colOff>
      <xdr:row>4</xdr:row>
      <xdr:rowOff>0</xdr:rowOff>
    </xdr:to>
    <xdr:sp macro="" textlink="#REF!">
      <xdr:nvSpPr>
        <xdr:cNvPr id="51" name="TextBox 50">
          <a:extLst>
            <a:ext uri="{FF2B5EF4-FFF2-40B4-BE49-F238E27FC236}">
              <a16:creationId xmlns:a16="http://schemas.microsoft.com/office/drawing/2014/main" id="{0802C7C3-DF03-0FD1-BF0E-0919E0AFEFD4}"/>
            </a:ext>
          </a:extLst>
        </xdr:cNvPr>
        <xdr:cNvSpPr txBox="1"/>
      </xdr:nvSpPr>
      <xdr:spPr>
        <a:xfrm>
          <a:off x="9947910" y="485775"/>
          <a:ext cx="292608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CA7CF5-BCEA-4124-90EE-862CDFE5674B}" type="TxLink">
            <a:rPr lang="en-US" sz="900" b="1" i="0" u="none" strike="noStrike">
              <a:solidFill>
                <a:srgbClr val="1F3A5F"/>
              </a:solidFill>
              <a:latin typeface="Calibri"/>
              <a:ea typeface="Calibri"/>
              <a:cs typeface="Calibri"/>
            </a:rPr>
            <a:pPr/>
            <a:t> </a:t>
          </a:fld>
          <a:endParaRPr lang="en-US" sz="1050" b="1">
            <a:solidFill>
              <a:srgbClr val="1F3A5F"/>
            </a:solidFill>
          </a:endParaRPr>
        </a:p>
      </xdr:txBody>
    </xdr:sp>
    <xdr:clientData/>
  </xdr:twoCellAnchor>
  <xdr:twoCellAnchor>
    <xdr:from>
      <xdr:col>21</xdr:col>
      <xdr:colOff>419100</xdr:colOff>
      <xdr:row>21</xdr:row>
      <xdr:rowOff>1</xdr:rowOff>
    </xdr:from>
    <xdr:to>
      <xdr:col>26</xdr:col>
      <xdr:colOff>228600</xdr:colOff>
      <xdr:row>23</xdr:row>
      <xdr:rowOff>1</xdr:rowOff>
    </xdr:to>
    <xdr:sp macro="" textlink="#REF!">
      <xdr:nvSpPr>
        <xdr:cNvPr id="52" name="TextBox 51">
          <a:extLst>
            <a:ext uri="{FF2B5EF4-FFF2-40B4-BE49-F238E27FC236}">
              <a16:creationId xmlns:a16="http://schemas.microsoft.com/office/drawing/2014/main" id="{6F58ECB6-1FBD-258D-51F4-C1628196385C}"/>
            </a:ext>
          </a:extLst>
        </xdr:cNvPr>
        <xdr:cNvSpPr txBox="1"/>
      </xdr:nvSpPr>
      <xdr:spPr>
        <a:xfrm>
          <a:off x="13220700" y="4000501"/>
          <a:ext cx="28575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450AA7-DA12-4267-8BA2-873AC2E34845}" type="TxLink">
            <a:rPr lang="en-US" sz="1000" b="1" i="0" u="none" strike="noStrike">
              <a:solidFill>
                <a:srgbClr val="1F3A5F"/>
              </a:solidFill>
              <a:latin typeface="Calibri"/>
              <a:ea typeface="Calibri"/>
              <a:cs typeface="Calibri"/>
            </a:rPr>
            <a:pPr/>
            <a:t>Most Common Payment Method: Insurance</a:t>
          </a:fld>
          <a:endParaRPr lang="en-US" sz="1100" b="1">
            <a:solidFill>
              <a:srgbClr val="1F3A5F"/>
            </a:solidFill>
          </a:endParaRPr>
        </a:p>
      </xdr:txBody>
    </xdr:sp>
    <xdr:clientData/>
  </xdr:twoCellAnchor>
  <xdr:twoCellAnchor>
    <xdr:from>
      <xdr:col>0</xdr:col>
      <xdr:colOff>152399</xdr:colOff>
      <xdr:row>17</xdr:row>
      <xdr:rowOff>150495</xdr:rowOff>
    </xdr:from>
    <xdr:to>
      <xdr:col>4</xdr:col>
      <xdr:colOff>542924</xdr:colOff>
      <xdr:row>19</xdr:row>
      <xdr:rowOff>19050</xdr:rowOff>
    </xdr:to>
    <xdr:sp macro="" textlink="#REF!">
      <xdr:nvSpPr>
        <xdr:cNvPr id="53" name="TextBox 52">
          <a:extLst>
            <a:ext uri="{FF2B5EF4-FFF2-40B4-BE49-F238E27FC236}">
              <a16:creationId xmlns:a16="http://schemas.microsoft.com/office/drawing/2014/main" id="{02E95560-22B7-8F49-C362-9AF96D076B21}"/>
            </a:ext>
          </a:extLst>
        </xdr:cNvPr>
        <xdr:cNvSpPr txBox="1"/>
      </xdr:nvSpPr>
      <xdr:spPr>
        <a:xfrm>
          <a:off x="152399" y="3388995"/>
          <a:ext cx="2828925" cy="2495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EC4B942-3583-45EB-8D27-AF0BC2C87352}" type="TxLink">
            <a:rPr lang="en-US" sz="900" b="1" i="0" u="none" strike="noStrike">
              <a:solidFill>
                <a:srgbClr val="1F3A5F"/>
              </a:solidFill>
              <a:latin typeface="Calibri"/>
              <a:ea typeface="Calibri"/>
              <a:cs typeface="Calibri"/>
            </a:rPr>
            <a:pPr algn="l"/>
            <a:t>TRUE</a:t>
          </a:fld>
          <a:endParaRPr lang="en-US" sz="1100" b="1">
            <a:solidFill>
              <a:srgbClr val="1F3A5F"/>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161925</xdr:colOff>
      <xdr:row>1</xdr:row>
      <xdr:rowOff>104775</xdr:rowOff>
    </xdr:from>
    <xdr:to>
      <xdr:col>23</xdr:col>
      <xdr:colOff>161925</xdr:colOff>
      <xdr:row>35</xdr:row>
      <xdr:rowOff>38303</xdr:rowOff>
    </xdr:to>
    <xdr:grpSp>
      <xdr:nvGrpSpPr>
        <xdr:cNvPr id="2" name="Group 1">
          <a:extLst>
            <a:ext uri="{FF2B5EF4-FFF2-40B4-BE49-F238E27FC236}">
              <a16:creationId xmlns:a16="http://schemas.microsoft.com/office/drawing/2014/main" id="{6D828698-A9E7-F8FB-1E5D-2B28811B0B78}"/>
            </a:ext>
          </a:extLst>
        </xdr:cNvPr>
        <xdr:cNvGrpSpPr/>
      </xdr:nvGrpSpPr>
      <xdr:grpSpPr>
        <a:xfrm>
          <a:off x="3209925" y="295275"/>
          <a:ext cx="10972800" cy="6410528"/>
          <a:chOff x="609600" y="228600"/>
          <a:chExt cx="10972800" cy="6410528"/>
        </a:xfrm>
      </xdr:grpSpPr>
      <xdr:sp macro="" textlink="">
        <xdr:nvSpPr>
          <xdr:cNvPr id="3" name="Rectangle 2">
            <a:extLst>
              <a:ext uri="{FF2B5EF4-FFF2-40B4-BE49-F238E27FC236}">
                <a16:creationId xmlns:a16="http://schemas.microsoft.com/office/drawing/2014/main" id="{1C334D66-D767-0513-7C24-4B7C8CB6A72E}"/>
              </a:ext>
            </a:extLst>
          </xdr:cNvPr>
          <xdr:cNvSpPr/>
        </xdr:nvSpPr>
        <xdr:spPr>
          <a:xfrm>
            <a:off x="609600" y="228600"/>
            <a:ext cx="10972800" cy="6400800"/>
          </a:xfrm>
          <a:prstGeom prst="rect">
            <a:avLst/>
          </a:prstGeom>
          <a:solidFill>
            <a:srgbClr val="111214"/>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ectangle: Rounded Corners 3">
            <a:extLst>
              <a:ext uri="{FF2B5EF4-FFF2-40B4-BE49-F238E27FC236}">
                <a16:creationId xmlns:a16="http://schemas.microsoft.com/office/drawing/2014/main" id="{1B7D53D0-8E83-7046-D306-141E71F122A4}"/>
              </a:ext>
            </a:extLst>
          </xdr:cNvPr>
          <xdr:cNvSpPr/>
        </xdr:nvSpPr>
        <xdr:spPr>
          <a:xfrm>
            <a:off x="2295243" y="822960"/>
            <a:ext cx="1645920" cy="1188720"/>
          </a:xfrm>
          <a:prstGeom prst="roundRect">
            <a:avLst>
              <a:gd name="adj" fmla="val 7184"/>
            </a:avLst>
          </a:prstGeom>
          <a:solidFill>
            <a:srgbClr val="1E2126"/>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rgbClr val="CBD5E1"/>
                </a:solidFill>
              </a:rPr>
              <a:t>TOTAL</a:t>
            </a:r>
            <a:r>
              <a:rPr lang="en-US" sz="1200" baseline="0">
                <a:solidFill>
                  <a:srgbClr val="CBD5E1"/>
                </a:solidFill>
              </a:rPr>
              <a:t> PATIENTS</a:t>
            </a:r>
            <a:endParaRPr lang="en-US">
              <a:solidFill>
                <a:srgbClr val="CBD5E1"/>
              </a:solidFill>
            </a:endParaRPr>
          </a:p>
        </xdr:txBody>
      </xdr:sp>
      <xdr:sp macro="" textlink="">
        <xdr:nvSpPr>
          <xdr:cNvPr id="5" name="Rectangle: Rounded Corners 4">
            <a:extLst>
              <a:ext uri="{FF2B5EF4-FFF2-40B4-BE49-F238E27FC236}">
                <a16:creationId xmlns:a16="http://schemas.microsoft.com/office/drawing/2014/main" id="{5538CD85-E8FA-201F-525D-4340A56112EE}"/>
              </a:ext>
            </a:extLst>
          </xdr:cNvPr>
          <xdr:cNvSpPr/>
        </xdr:nvSpPr>
        <xdr:spPr>
          <a:xfrm>
            <a:off x="4131865" y="822960"/>
            <a:ext cx="1645920" cy="1188720"/>
          </a:xfrm>
          <a:prstGeom prst="roundRect">
            <a:avLst>
              <a:gd name="adj" fmla="val 7184"/>
            </a:avLst>
          </a:prstGeom>
          <a:solidFill>
            <a:srgbClr val="1E21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a:solidFill>
                  <a:srgbClr val="CBD5E1"/>
                </a:solidFill>
              </a:rPr>
              <a:t>AVERAGE LENGTH OF</a:t>
            </a:r>
            <a:r>
              <a:rPr lang="en-US" sz="1100" baseline="0">
                <a:solidFill>
                  <a:srgbClr val="CBD5E1"/>
                </a:solidFill>
              </a:rPr>
              <a:t> STAY (Days)</a:t>
            </a:r>
            <a:endParaRPr lang="en-US">
              <a:solidFill>
                <a:srgbClr val="CBD5E1"/>
              </a:solidFill>
            </a:endParaRPr>
          </a:p>
        </xdr:txBody>
      </xdr:sp>
      <xdr:sp macro="" textlink="">
        <xdr:nvSpPr>
          <xdr:cNvPr id="6" name="Rectangle: Rounded Corners 5">
            <a:extLst>
              <a:ext uri="{FF2B5EF4-FFF2-40B4-BE49-F238E27FC236}">
                <a16:creationId xmlns:a16="http://schemas.microsoft.com/office/drawing/2014/main" id="{64D557DE-C2C8-EC5E-5D94-C8C4BB1E5603}"/>
              </a:ext>
            </a:extLst>
          </xdr:cNvPr>
          <xdr:cNvSpPr/>
        </xdr:nvSpPr>
        <xdr:spPr>
          <a:xfrm>
            <a:off x="5968487" y="822960"/>
            <a:ext cx="1645920" cy="1188720"/>
          </a:xfrm>
          <a:prstGeom prst="roundRect">
            <a:avLst>
              <a:gd name="adj" fmla="val 7184"/>
            </a:avLst>
          </a:prstGeom>
          <a:solidFill>
            <a:srgbClr val="1E21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rgbClr val="CBD5E1"/>
                </a:solidFill>
              </a:rPr>
              <a:t>TOTAL REVENUE</a:t>
            </a:r>
            <a:endParaRPr lang="en-US">
              <a:solidFill>
                <a:srgbClr val="CBD5E1"/>
              </a:solidFill>
            </a:endParaRPr>
          </a:p>
        </xdr:txBody>
      </xdr:sp>
      <xdr:sp macro="" textlink="">
        <xdr:nvSpPr>
          <xdr:cNvPr id="7" name="Rectangle: Rounded Corners 6">
            <a:extLst>
              <a:ext uri="{FF2B5EF4-FFF2-40B4-BE49-F238E27FC236}">
                <a16:creationId xmlns:a16="http://schemas.microsoft.com/office/drawing/2014/main" id="{6BF366D2-A521-8B41-5377-3BB87416C0C3}"/>
              </a:ext>
            </a:extLst>
          </xdr:cNvPr>
          <xdr:cNvSpPr/>
        </xdr:nvSpPr>
        <xdr:spPr>
          <a:xfrm>
            <a:off x="7805109" y="822960"/>
            <a:ext cx="1645920" cy="1188720"/>
          </a:xfrm>
          <a:prstGeom prst="roundRect">
            <a:avLst>
              <a:gd name="adj" fmla="val 7184"/>
            </a:avLst>
          </a:prstGeom>
          <a:solidFill>
            <a:srgbClr val="1E21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rgbClr val="CBD5E1"/>
                </a:solidFill>
              </a:rPr>
              <a:t>MORTALITY RATE</a:t>
            </a:r>
            <a:endParaRPr lang="en-US">
              <a:solidFill>
                <a:srgbClr val="CBD5E1"/>
              </a:solidFill>
            </a:endParaRPr>
          </a:p>
        </xdr:txBody>
      </xdr:sp>
      <xdr:sp macro="" textlink="">
        <xdr:nvSpPr>
          <xdr:cNvPr id="8" name="Rectangle: Rounded Corners 7">
            <a:extLst>
              <a:ext uri="{FF2B5EF4-FFF2-40B4-BE49-F238E27FC236}">
                <a16:creationId xmlns:a16="http://schemas.microsoft.com/office/drawing/2014/main" id="{5BC2CD3D-83CF-99D3-F5DC-EDD608010C0F}"/>
              </a:ext>
            </a:extLst>
          </xdr:cNvPr>
          <xdr:cNvSpPr/>
        </xdr:nvSpPr>
        <xdr:spPr>
          <a:xfrm>
            <a:off x="9641731" y="822960"/>
            <a:ext cx="1645920" cy="1188720"/>
          </a:xfrm>
          <a:prstGeom prst="roundRect">
            <a:avLst>
              <a:gd name="adj" fmla="val 7184"/>
            </a:avLst>
          </a:prstGeom>
          <a:solidFill>
            <a:srgbClr val="1E21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a:solidFill>
                  <a:srgbClr val="CBD5E1"/>
                </a:solidFill>
              </a:rPr>
              <a:t>AVERAGE SATISFACTION SCORE</a:t>
            </a:r>
            <a:endParaRPr lang="en-US">
              <a:solidFill>
                <a:srgbClr val="CBD5E1"/>
              </a:solidFill>
            </a:endParaRPr>
          </a:p>
        </xdr:txBody>
      </xdr:sp>
      <xdr:cxnSp macro="">
        <xdr:nvCxnSpPr>
          <xdr:cNvPr id="9" name="Straight Connector 8">
            <a:extLst>
              <a:ext uri="{FF2B5EF4-FFF2-40B4-BE49-F238E27FC236}">
                <a16:creationId xmlns:a16="http://schemas.microsoft.com/office/drawing/2014/main" id="{C6B77FB2-C376-D059-C7FD-F0B12FAE08A7}"/>
              </a:ext>
            </a:extLst>
          </xdr:cNvPr>
          <xdr:cNvCxnSpPr/>
        </xdr:nvCxnSpPr>
        <xdr:spPr>
          <a:xfrm>
            <a:off x="2033081" y="228600"/>
            <a:ext cx="0" cy="6410528"/>
          </a:xfrm>
          <a:prstGeom prst="line">
            <a:avLst/>
          </a:prstGeom>
          <a:ln w="12700">
            <a:solidFill>
              <a:srgbClr val="1E2126"/>
            </a:solidFill>
          </a:ln>
        </xdr:spPr>
        <xdr:style>
          <a:lnRef idx="2">
            <a:schemeClr val="accent1"/>
          </a:lnRef>
          <a:fillRef idx="0">
            <a:schemeClr val="accent1"/>
          </a:fillRef>
          <a:effectRef idx="1">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ACD3D803-2A4D-1696-7565-99A9D84DE4D5}"/>
              </a:ext>
            </a:extLst>
          </xdr:cNvPr>
          <xdr:cNvSpPr/>
        </xdr:nvSpPr>
        <xdr:spPr>
          <a:xfrm>
            <a:off x="2300632" y="2134573"/>
            <a:ext cx="2926080" cy="2103120"/>
          </a:xfrm>
          <a:prstGeom prst="roundRect">
            <a:avLst>
              <a:gd name="adj" fmla="val 4283"/>
            </a:avLst>
          </a:prstGeom>
          <a:solidFill>
            <a:srgbClr val="1E2126"/>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Rounded Corners 10">
            <a:extLst>
              <a:ext uri="{FF2B5EF4-FFF2-40B4-BE49-F238E27FC236}">
                <a16:creationId xmlns:a16="http://schemas.microsoft.com/office/drawing/2014/main" id="{378F0500-FD32-D8B1-D63E-92597A62CBAF}"/>
              </a:ext>
            </a:extLst>
          </xdr:cNvPr>
          <xdr:cNvSpPr/>
        </xdr:nvSpPr>
        <xdr:spPr>
          <a:xfrm>
            <a:off x="5342006" y="4381986"/>
            <a:ext cx="2926080" cy="2103120"/>
          </a:xfrm>
          <a:prstGeom prst="roundRect">
            <a:avLst>
              <a:gd name="adj" fmla="val 5803"/>
            </a:avLst>
          </a:prstGeom>
          <a:solidFill>
            <a:srgbClr val="1E2126"/>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Rounded Corners 11">
            <a:extLst>
              <a:ext uri="{FF2B5EF4-FFF2-40B4-BE49-F238E27FC236}">
                <a16:creationId xmlns:a16="http://schemas.microsoft.com/office/drawing/2014/main" id="{6ECE520E-5436-9FAC-C817-C680ED43AB94}"/>
              </a:ext>
            </a:extLst>
          </xdr:cNvPr>
          <xdr:cNvSpPr/>
        </xdr:nvSpPr>
        <xdr:spPr>
          <a:xfrm>
            <a:off x="8388770" y="4381986"/>
            <a:ext cx="2926080" cy="2103120"/>
          </a:xfrm>
          <a:prstGeom prst="roundRect">
            <a:avLst>
              <a:gd name="adj" fmla="val 3385"/>
            </a:avLst>
          </a:prstGeom>
          <a:solidFill>
            <a:srgbClr val="1E2126"/>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Rectangle: Rounded Corners 12">
            <a:extLst>
              <a:ext uri="{FF2B5EF4-FFF2-40B4-BE49-F238E27FC236}">
                <a16:creationId xmlns:a16="http://schemas.microsoft.com/office/drawing/2014/main" id="{D96EE52C-A763-5257-9D7A-CF64BB794F55}"/>
              </a:ext>
            </a:extLst>
          </xdr:cNvPr>
          <xdr:cNvSpPr/>
        </xdr:nvSpPr>
        <xdr:spPr>
          <a:xfrm>
            <a:off x="2295243" y="4381986"/>
            <a:ext cx="2926080" cy="2103120"/>
          </a:xfrm>
          <a:prstGeom prst="roundRect">
            <a:avLst>
              <a:gd name="adj" fmla="val 4836"/>
            </a:avLst>
          </a:prstGeom>
          <a:solidFill>
            <a:srgbClr val="1E2126"/>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9A4724FE-F04E-EFD0-5216-7CA37BEB2D3C}"/>
              </a:ext>
            </a:extLst>
          </xdr:cNvPr>
          <xdr:cNvSpPr/>
        </xdr:nvSpPr>
        <xdr:spPr>
          <a:xfrm>
            <a:off x="5344701" y="2134573"/>
            <a:ext cx="2926080" cy="2103120"/>
          </a:xfrm>
          <a:prstGeom prst="roundRect">
            <a:avLst>
              <a:gd name="adj" fmla="val 3868"/>
            </a:avLst>
          </a:prstGeom>
          <a:solidFill>
            <a:srgbClr val="1E2126"/>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 name="Rectangle: Rounded Corners 14">
            <a:extLst>
              <a:ext uri="{FF2B5EF4-FFF2-40B4-BE49-F238E27FC236}">
                <a16:creationId xmlns:a16="http://schemas.microsoft.com/office/drawing/2014/main" id="{C67D4A47-9F21-5463-8ADB-BEFC1E358353}"/>
              </a:ext>
            </a:extLst>
          </xdr:cNvPr>
          <xdr:cNvSpPr/>
        </xdr:nvSpPr>
        <xdr:spPr>
          <a:xfrm>
            <a:off x="8388770" y="2134573"/>
            <a:ext cx="2926080" cy="2103120"/>
          </a:xfrm>
          <a:prstGeom prst="roundRect">
            <a:avLst>
              <a:gd name="adj" fmla="val 4282"/>
            </a:avLst>
          </a:prstGeom>
          <a:solidFill>
            <a:srgbClr val="1E2126"/>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6" name="TextBox 21">
            <a:extLst>
              <a:ext uri="{FF2B5EF4-FFF2-40B4-BE49-F238E27FC236}">
                <a16:creationId xmlns:a16="http://schemas.microsoft.com/office/drawing/2014/main" id="{A555EEF1-49A4-F45C-A93E-EFB961E628E0}"/>
              </a:ext>
            </a:extLst>
          </xdr:cNvPr>
          <xdr:cNvSpPr txBox="1"/>
        </xdr:nvSpPr>
        <xdr:spPr>
          <a:xfrm>
            <a:off x="2295243" y="398834"/>
            <a:ext cx="5597132" cy="37414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solidFill>
                  <a:srgbClr val="CBD5E1"/>
                </a:solidFill>
                <a:latin typeface="Calibri" panose="020F0502020204030204" pitchFamily="34" charset="0"/>
                <a:ea typeface="Calibri" panose="020F0502020204030204" pitchFamily="34" charset="0"/>
                <a:cs typeface="Calibri" panose="020F0502020204030204" pitchFamily="34" charset="0"/>
              </a:rPr>
              <a:t>Hospital Operations And Quality Overview</a:t>
            </a:r>
          </a:p>
        </xdr:txBody>
      </xdr:sp>
      <xdr:sp macro="" textlink="">
        <xdr:nvSpPr>
          <xdr:cNvPr id="17" name="TextBox 22">
            <a:hlinkClick xmlns:r="http://schemas.openxmlformats.org/officeDocument/2006/relationships" r:id="rId1"/>
            <a:extLst>
              <a:ext uri="{FF2B5EF4-FFF2-40B4-BE49-F238E27FC236}">
                <a16:creationId xmlns:a16="http://schemas.microsoft.com/office/drawing/2014/main" id="{26370B73-C65E-E87F-3682-277DD9559483}"/>
              </a:ext>
            </a:extLst>
          </xdr:cNvPr>
          <xdr:cNvSpPr txBox="1"/>
        </xdr:nvSpPr>
        <xdr:spPr>
          <a:xfrm>
            <a:off x="737985" y="1734681"/>
            <a:ext cx="1423483" cy="2802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CBD5E1"/>
                </a:solidFill>
                <a:latin typeface="Calibri" panose="020F0502020204030204" pitchFamily="34" charset="0"/>
                <a:ea typeface="Calibri" panose="020F0502020204030204" pitchFamily="34" charset="0"/>
                <a:cs typeface="Calibri" panose="020F0502020204030204" pitchFamily="34" charset="0"/>
              </a:rPr>
              <a:t>DASHBOARD</a:t>
            </a:r>
          </a:p>
        </xdr:txBody>
      </xdr:sp>
      <xdr:sp macro="" textlink="">
        <xdr:nvSpPr>
          <xdr:cNvPr id="18" name="TextBox 23">
            <a:hlinkClick xmlns:r="http://schemas.openxmlformats.org/officeDocument/2006/relationships" r:id="rId2"/>
            <a:extLst>
              <a:ext uri="{FF2B5EF4-FFF2-40B4-BE49-F238E27FC236}">
                <a16:creationId xmlns:a16="http://schemas.microsoft.com/office/drawing/2014/main" id="{0499AC5B-3512-F3D5-7899-48E58D81065C}"/>
              </a:ext>
            </a:extLst>
          </xdr:cNvPr>
          <xdr:cNvSpPr txBox="1"/>
        </xdr:nvSpPr>
        <xdr:spPr>
          <a:xfrm>
            <a:off x="737985" y="2159455"/>
            <a:ext cx="1423481" cy="2802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CBD5E1"/>
                </a:solidFill>
                <a:latin typeface="Calibri" panose="020F0502020204030204" pitchFamily="34" charset="0"/>
                <a:ea typeface="Calibri" panose="020F0502020204030204" pitchFamily="34" charset="0"/>
                <a:cs typeface="Calibri" panose="020F0502020204030204" pitchFamily="34" charset="0"/>
              </a:rPr>
              <a:t>ANALYSIS</a:t>
            </a:r>
          </a:p>
        </xdr:txBody>
      </xdr:sp>
      <xdr:sp macro="" textlink="">
        <xdr:nvSpPr>
          <xdr:cNvPr id="19" name="TextBox 24">
            <a:hlinkClick xmlns:r="http://schemas.openxmlformats.org/officeDocument/2006/relationships" r:id="rId3"/>
            <a:extLst>
              <a:ext uri="{FF2B5EF4-FFF2-40B4-BE49-F238E27FC236}">
                <a16:creationId xmlns:a16="http://schemas.microsoft.com/office/drawing/2014/main" id="{EE1DFD03-1D43-7314-37B5-E9FFD7089561}"/>
              </a:ext>
            </a:extLst>
          </xdr:cNvPr>
          <xdr:cNvSpPr txBox="1"/>
        </xdr:nvSpPr>
        <xdr:spPr>
          <a:xfrm>
            <a:off x="737987" y="2584229"/>
            <a:ext cx="1423481" cy="2802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CBD5E1"/>
                </a:solidFill>
                <a:latin typeface="Calibri" panose="020F0502020204030204" pitchFamily="34" charset="0"/>
                <a:ea typeface="Calibri" panose="020F0502020204030204" pitchFamily="34" charset="0"/>
                <a:cs typeface="Calibri" panose="020F0502020204030204" pitchFamily="34" charset="0"/>
              </a:rPr>
              <a:t>DATA</a:t>
            </a:r>
          </a:p>
        </xdr:txBody>
      </xdr:sp>
      <xdr:pic>
        <xdr:nvPicPr>
          <xdr:cNvPr id="20" name="Graphic 26" descr="Medical outline">
            <a:extLst>
              <a:ext uri="{FF2B5EF4-FFF2-40B4-BE49-F238E27FC236}">
                <a16:creationId xmlns:a16="http://schemas.microsoft.com/office/drawing/2014/main" id="{CE0BF65D-2A4C-D57D-76EF-75F787AA093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91792" y="398834"/>
            <a:ext cx="1050587" cy="1050587"/>
          </a:xfrm>
          <a:prstGeom prst="rect">
            <a:avLst/>
          </a:prstGeom>
        </xdr:spPr>
      </xdr:pic>
    </xdr:grpSp>
    <xdr:clientData/>
  </xdr:twoCellAnchor>
  <xdr:twoCellAnchor>
    <xdr:from>
      <xdr:col>8</xdr:col>
      <xdr:colOff>28575</xdr:colOff>
      <xdr:row>13</xdr:row>
      <xdr:rowOff>38100</xdr:rowOff>
    </xdr:from>
    <xdr:to>
      <xdr:col>12</xdr:col>
      <xdr:colOff>428625</xdr:colOff>
      <xdr:row>22</xdr:row>
      <xdr:rowOff>66675</xdr:rowOff>
    </xdr:to>
    <xdr:graphicFrame macro="">
      <xdr:nvGraphicFramePr>
        <xdr:cNvPr id="21" name="Chart 20">
          <a:extLst>
            <a:ext uri="{FF2B5EF4-FFF2-40B4-BE49-F238E27FC236}">
              <a16:creationId xmlns:a16="http://schemas.microsoft.com/office/drawing/2014/main" id="{80707E09-B097-4DEC-B118-B9BE8B6B0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85726</xdr:colOff>
      <xdr:row>11</xdr:row>
      <xdr:rowOff>161925</xdr:rowOff>
    </xdr:from>
    <xdr:to>
      <xdr:col>12</xdr:col>
      <xdr:colOff>476250</xdr:colOff>
      <xdr:row>13</xdr:row>
      <xdr:rowOff>28574</xdr:rowOff>
    </xdr:to>
    <xdr:sp macro="" textlink="">
      <xdr:nvSpPr>
        <xdr:cNvPr id="22" name="TextBox 21">
          <a:extLst>
            <a:ext uri="{FF2B5EF4-FFF2-40B4-BE49-F238E27FC236}">
              <a16:creationId xmlns:a16="http://schemas.microsoft.com/office/drawing/2014/main" id="{31578C2C-53C5-1CA6-B990-1D38C1FB2F9D}"/>
            </a:ext>
          </a:extLst>
        </xdr:cNvPr>
        <xdr:cNvSpPr txBox="1"/>
      </xdr:nvSpPr>
      <xdr:spPr>
        <a:xfrm>
          <a:off x="4962526" y="2257425"/>
          <a:ext cx="2828924"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CBD5E1"/>
              </a:solidFill>
            </a:rPr>
            <a:t>Average</a:t>
          </a:r>
          <a:r>
            <a:rPr lang="en-US" sz="1000" b="1" baseline="0">
              <a:solidFill>
                <a:srgbClr val="CBD5E1"/>
              </a:solidFill>
            </a:rPr>
            <a:t> Length of Stay by Department</a:t>
          </a:r>
          <a:endParaRPr lang="en-US" sz="1000" b="1">
            <a:solidFill>
              <a:srgbClr val="CBD5E1"/>
            </a:solidFill>
          </a:endParaRPr>
        </a:p>
      </xdr:txBody>
    </xdr:sp>
    <xdr:clientData/>
  </xdr:twoCellAnchor>
  <xdr:twoCellAnchor>
    <xdr:from>
      <xdr:col>13</xdr:col>
      <xdr:colOff>47625</xdr:colOff>
      <xdr:row>11</xdr:row>
      <xdr:rowOff>95250</xdr:rowOff>
    </xdr:from>
    <xdr:to>
      <xdr:col>17</xdr:col>
      <xdr:colOff>485774</xdr:colOff>
      <xdr:row>12</xdr:row>
      <xdr:rowOff>171450</xdr:rowOff>
    </xdr:to>
    <xdr:sp macro="" textlink="">
      <xdr:nvSpPr>
        <xdr:cNvPr id="23" name="TextBox 22">
          <a:extLst>
            <a:ext uri="{FF2B5EF4-FFF2-40B4-BE49-F238E27FC236}">
              <a16:creationId xmlns:a16="http://schemas.microsoft.com/office/drawing/2014/main" id="{07A2BBCE-819C-FE2E-2EC2-7F2A362CFBF5}"/>
            </a:ext>
          </a:extLst>
        </xdr:cNvPr>
        <xdr:cNvSpPr txBox="1"/>
      </xdr:nvSpPr>
      <xdr:spPr>
        <a:xfrm>
          <a:off x="7972425" y="2190750"/>
          <a:ext cx="287654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CBD5E1"/>
              </a:solidFill>
            </a:rPr>
            <a:t>Revenue</a:t>
          </a:r>
          <a:r>
            <a:rPr lang="en-US" sz="1000" b="1" baseline="0">
              <a:solidFill>
                <a:srgbClr val="CBD5E1"/>
              </a:solidFill>
            </a:rPr>
            <a:t> by Department</a:t>
          </a:r>
          <a:endParaRPr lang="en-US" sz="1100" b="1">
            <a:solidFill>
              <a:srgbClr val="CBD5E1"/>
            </a:solidFill>
          </a:endParaRPr>
        </a:p>
      </xdr:txBody>
    </xdr:sp>
    <xdr:clientData/>
  </xdr:twoCellAnchor>
  <xdr:twoCellAnchor>
    <xdr:from>
      <xdr:col>13</xdr:col>
      <xdr:colOff>66675</xdr:colOff>
      <xdr:row>13</xdr:row>
      <xdr:rowOff>0</xdr:rowOff>
    </xdr:from>
    <xdr:to>
      <xdr:col>17</xdr:col>
      <xdr:colOff>590550</xdr:colOff>
      <xdr:row>22</xdr:row>
      <xdr:rowOff>47625</xdr:rowOff>
    </xdr:to>
    <xdr:graphicFrame macro="">
      <xdr:nvGraphicFramePr>
        <xdr:cNvPr id="24" name="Chart 23">
          <a:extLst>
            <a:ext uri="{FF2B5EF4-FFF2-40B4-BE49-F238E27FC236}">
              <a16:creationId xmlns:a16="http://schemas.microsoft.com/office/drawing/2014/main" id="{3F0B9E9D-F47E-4B05-8B8F-F7A20C061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19050</xdr:colOff>
      <xdr:row>23</xdr:row>
      <xdr:rowOff>85724</xdr:rowOff>
    </xdr:from>
    <xdr:to>
      <xdr:col>12</xdr:col>
      <xdr:colOff>523875</xdr:colOff>
      <xdr:row>24</xdr:row>
      <xdr:rowOff>133350</xdr:rowOff>
    </xdr:to>
    <xdr:sp macro="" textlink="">
      <xdr:nvSpPr>
        <xdr:cNvPr id="25" name="TextBox 24">
          <a:extLst>
            <a:ext uri="{FF2B5EF4-FFF2-40B4-BE49-F238E27FC236}">
              <a16:creationId xmlns:a16="http://schemas.microsoft.com/office/drawing/2014/main" id="{9C0E4127-CA67-E5EB-8FCB-4C3E6868B32B}"/>
            </a:ext>
          </a:extLst>
        </xdr:cNvPr>
        <xdr:cNvSpPr txBox="1"/>
      </xdr:nvSpPr>
      <xdr:spPr>
        <a:xfrm>
          <a:off x="4895850" y="4467224"/>
          <a:ext cx="2943225"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CBD5E1"/>
              </a:solidFill>
            </a:rPr>
            <a:t>Readmission Rate</a:t>
          </a:r>
          <a:r>
            <a:rPr lang="en-US" sz="1000" b="1" baseline="0">
              <a:solidFill>
                <a:srgbClr val="CBD5E1"/>
              </a:solidFill>
            </a:rPr>
            <a:t> by Diagnosis</a:t>
          </a:r>
          <a:endParaRPr lang="en-US" sz="1000" b="1">
            <a:solidFill>
              <a:srgbClr val="CBD5E1"/>
            </a:solidFill>
          </a:endParaRPr>
        </a:p>
      </xdr:txBody>
    </xdr:sp>
    <xdr:clientData/>
  </xdr:twoCellAnchor>
  <xdr:twoCellAnchor>
    <xdr:from>
      <xdr:col>8</xdr:col>
      <xdr:colOff>19051</xdr:colOff>
      <xdr:row>24</xdr:row>
      <xdr:rowOff>76199</xdr:rowOff>
    </xdr:from>
    <xdr:to>
      <xdr:col>12</xdr:col>
      <xdr:colOff>523875</xdr:colOff>
      <xdr:row>25</xdr:row>
      <xdr:rowOff>85724</xdr:rowOff>
    </xdr:to>
    <xdr:sp macro="" textlink="">
      <xdr:nvSpPr>
        <xdr:cNvPr id="26" name="TextBox 25">
          <a:extLst>
            <a:ext uri="{FF2B5EF4-FFF2-40B4-BE49-F238E27FC236}">
              <a16:creationId xmlns:a16="http://schemas.microsoft.com/office/drawing/2014/main" id="{898C757F-7874-7DE7-533C-5B7E70359FC2}"/>
            </a:ext>
          </a:extLst>
        </xdr:cNvPr>
        <xdr:cNvSpPr txBox="1"/>
      </xdr:nvSpPr>
      <xdr:spPr>
        <a:xfrm>
          <a:off x="4895851" y="4648199"/>
          <a:ext cx="2943224"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0">
              <a:solidFill>
                <a:srgbClr val="CBD5E1"/>
              </a:solidFill>
            </a:rPr>
            <a:t>Chronic conditions show repeat admisssions</a:t>
          </a:r>
        </a:p>
      </xdr:txBody>
    </xdr:sp>
    <xdr:clientData/>
  </xdr:twoCellAnchor>
  <xdr:twoCellAnchor>
    <xdr:from>
      <xdr:col>7</xdr:col>
      <xdr:colOff>581026</xdr:colOff>
      <xdr:row>25</xdr:row>
      <xdr:rowOff>38100</xdr:rowOff>
    </xdr:from>
    <xdr:to>
      <xdr:col>12</xdr:col>
      <xdr:colOff>495300</xdr:colOff>
      <xdr:row>34</xdr:row>
      <xdr:rowOff>85724</xdr:rowOff>
    </xdr:to>
    <xdr:graphicFrame macro="">
      <xdr:nvGraphicFramePr>
        <xdr:cNvPr id="29" name="Chart 28">
          <a:extLst>
            <a:ext uri="{FF2B5EF4-FFF2-40B4-BE49-F238E27FC236}">
              <a16:creationId xmlns:a16="http://schemas.microsoft.com/office/drawing/2014/main" id="{6F817488-3C4F-42B3-BEC7-2F2964036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28574</xdr:colOff>
      <xdr:row>23</xdr:row>
      <xdr:rowOff>95249</xdr:rowOff>
    </xdr:from>
    <xdr:to>
      <xdr:col>17</xdr:col>
      <xdr:colOff>495299</xdr:colOff>
      <xdr:row>24</xdr:row>
      <xdr:rowOff>133350</xdr:rowOff>
    </xdr:to>
    <xdr:sp macro="" textlink="">
      <xdr:nvSpPr>
        <xdr:cNvPr id="30" name="TextBox 29">
          <a:extLst>
            <a:ext uri="{FF2B5EF4-FFF2-40B4-BE49-F238E27FC236}">
              <a16:creationId xmlns:a16="http://schemas.microsoft.com/office/drawing/2014/main" id="{714EB0FE-90BC-A8CE-C41A-2C4CBC0ABCC1}"/>
            </a:ext>
          </a:extLst>
        </xdr:cNvPr>
        <xdr:cNvSpPr txBox="1"/>
      </xdr:nvSpPr>
      <xdr:spPr>
        <a:xfrm>
          <a:off x="7953374" y="4476749"/>
          <a:ext cx="2905125"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CBD5E1"/>
              </a:solidFill>
            </a:rPr>
            <a:t>Revenue by Payment Method</a:t>
          </a:r>
        </a:p>
      </xdr:txBody>
    </xdr:sp>
    <xdr:clientData/>
  </xdr:twoCellAnchor>
  <xdr:twoCellAnchor>
    <xdr:from>
      <xdr:col>13</xdr:col>
      <xdr:colOff>9524</xdr:colOff>
      <xdr:row>25</xdr:row>
      <xdr:rowOff>66674</xdr:rowOff>
    </xdr:from>
    <xdr:to>
      <xdr:col>17</xdr:col>
      <xdr:colOff>571499</xdr:colOff>
      <xdr:row>34</xdr:row>
      <xdr:rowOff>95249</xdr:rowOff>
    </xdr:to>
    <xdr:graphicFrame macro="">
      <xdr:nvGraphicFramePr>
        <xdr:cNvPr id="31" name="Chart 30">
          <a:extLst>
            <a:ext uri="{FF2B5EF4-FFF2-40B4-BE49-F238E27FC236}">
              <a16:creationId xmlns:a16="http://schemas.microsoft.com/office/drawing/2014/main" id="{EE9C0947-8905-4972-A1BB-CBFE15B2E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12</xdr:col>
      <xdr:colOff>600075</xdr:colOff>
      <xdr:row>24</xdr:row>
      <xdr:rowOff>123825</xdr:rowOff>
    </xdr:from>
    <xdr:ext cx="2838450" cy="219075"/>
    <xdr:sp macro="" textlink="">
      <xdr:nvSpPr>
        <xdr:cNvPr id="32" name="TextBox 31">
          <a:extLst>
            <a:ext uri="{FF2B5EF4-FFF2-40B4-BE49-F238E27FC236}">
              <a16:creationId xmlns:a16="http://schemas.microsoft.com/office/drawing/2014/main" id="{5B5F23E8-6167-EEE7-6D66-B52CAD7C5F81}"/>
            </a:ext>
          </a:extLst>
        </xdr:cNvPr>
        <xdr:cNvSpPr txBox="1"/>
      </xdr:nvSpPr>
      <xdr:spPr>
        <a:xfrm>
          <a:off x="7915275" y="4695825"/>
          <a:ext cx="2838450" cy="21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solidFill>
                <a:srgbClr val="CBD5E1"/>
              </a:solidFill>
            </a:rPr>
            <a:t>Insurance</a:t>
          </a:r>
          <a:r>
            <a:rPr lang="en-US" sz="1000" baseline="0">
              <a:solidFill>
                <a:srgbClr val="CBD5E1"/>
              </a:solidFill>
            </a:rPr>
            <a:t> dominates billed revenue</a:t>
          </a:r>
          <a:endParaRPr lang="en-US" sz="1100">
            <a:solidFill>
              <a:srgbClr val="CBD5E1"/>
            </a:solidFill>
          </a:endParaRPr>
        </a:p>
      </xdr:txBody>
    </xdr:sp>
    <xdr:clientData/>
  </xdr:oneCellAnchor>
  <xdr:twoCellAnchor>
    <xdr:from>
      <xdr:col>18</xdr:col>
      <xdr:colOff>66675</xdr:colOff>
      <xdr:row>23</xdr:row>
      <xdr:rowOff>57150</xdr:rowOff>
    </xdr:from>
    <xdr:to>
      <xdr:col>22</xdr:col>
      <xdr:colOff>409575</xdr:colOff>
      <xdr:row>24</xdr:row>
      <xdr:rowOff>95250</xdr:rowOff>
    </xdr:to>
    <xdr:sp macro="" textlink="">
      <xdr:nvSpPr>
        <xdr:cNvPr id="33" name="TextBox 32">
          <a:extLst>
            <a:ext uri="{FF2B5EF4-FFF2-40B4-BE49-F238E27FC236}">
              <a16:creationId xmlns:a16="http://schemas.microsoft.com/office/drawing/2014/main" id="{0150EA54-CE6F-34FF-A2A6-2B07DFE1E212}"/>
            </a:ext>
          </a:extLst>
        </xdr:cNvPr>
        <xdr:cNvSpPr txBox="1"/>
      </xdr:nvSpPr>
      <xdr:spPr>
        <a:xfrm>
          <a:off x="11039475" y="4438650"/>
          <a:ext cx="2781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CBD5E1"/>
              </a:solidFill>
            </a:rPr>
            <a:t>Average Satisfaction Score</a:t>
          </a:r>
          <a:r>
            <a:rPr lang="en-US" sz="1000" b="1" baseline="0">
              <a:solidFill>
                <a:srgbClr val="CBD5E1"/>
              </a:solidFill>
            </a:rPr>
            <a:t> by Department</a:t>
          </a:r>
          <a:endParaRPr lang="en-US" sz="1000" b="1">
            <a:solidFill>
              <a:srgbClr val="CBD5E1"/>
            </a:solidFill>
          </a:endParaRPr>
        </a:p>
      </xdr:txBody>
    </xdr:sp>
    <xdr:clientData/>
  </xdr:twoCellAnchor>
  <xdr:twoCellAnchor>
    <xdr:from>
      <xdr:col>17</xdr:col>
      <xdr:colOff>600075</xdr:colOff>
      <xdr:row>25</xdr:row>
      <xdr:rowOff>85725</xdr:rowOff>
    </xdr:from>
    <xdr:to>
      <xdr:col>22</xdr:col>
      <xdr:colOff>485775</xdr:colOff>
      <xdr:row>34</xdr:row>
      <xdr:rowOff>76200</xdr:rowOff>
    </xdr:to>
    <xdr:graphicFrame macro="">
      <xdr:nvGraphicFramePr>
        <xdr:cNvPr id="34" name="Chart 33">
          <a:extLst>
            <a:ext uri="{FF2B5EF4-FFF2-40B4-BE49-F238E27FC236}">
              <a16:creationId xmlns:a16="http://schemas.microsoft.com/office/drawing/2014/main" id="{2BB78344-94F7-4A3A-9AB8-4ECD112B4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19050</xdr:colOff>
      <xdr:row>24</xdr:row>
      <xdr:rowOff>85725</xdr:rowOff>
    </xdr:from>
    <xdr:to>
      <xdr:col>22</xdr:col>
      <xdr:colOff>514350</xdr:colOff>
      <xdr:row>25</xdr:row>
      <xdr:rowOff>95250</xdr:rowOff>
    </xdr:to>
    <xdr:sp macro="" textlink="">
      <xdr:nvSpPr>
        <xdr:cNvPr id="35" name="TextBox 34">
          <a:extLst>
            <a:ext uri="{FF2B5EF4-FFF2-40B4-BE49-F238E27FC236}">
              <a16:creationId xmlns:a16="http://schemas.microsoft.com/office/drawing/2014/main" id="{7B616B3A-17A7-8D19-885C-E0861734C502}"/>
            </a:ext>
          </a:extLst>
        </xdr:cNvPr>
        <xdr:cNvSpPr txBox="1"/>
      </xdr:nvSpPr>
      <xdr:spPr>
        <a:xfrm>
          <a:off x="10991850" y="4657725"/>
          <a:ext cx="29337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CBD5E1"/>
              </a:solidFill>
            </a:rPr>
            <a:t>Patient</a:t>
          </a:r>
          <a:r>
            <a:rPr lang="en-US" sz="900" baseline="0">
              <a:solidFill>
                <a:srgbClr val="CBD5E1"/>
              </a:solidFill>
            </a:rPr>
            <a:t> experience varies across departments</a:t>
          </a:r>
          <a:endParaRPr lang="en-US" sz="900">
            <a:solidFill>
              <a:srgbClr val="CBD5E1"/>
            </a:solidFill>
          </a:endParaRPr>
        </a:p>
      </xdr:txBody>
    </xdr:sp>
    <xdr:clientData/>
  </xdr:twoCellAnchor>
  <xdr:twoCellAnchor>
    <xdr:from>
      <xdr:col>18</xdr:col>
      <xdr:colOff>38100</xdr:colOff>
      <xdr:row>11</xdr:row>
      <xdr:rowOff>114300</xdr:rowOff>
    </xdr:from>
    <xdr:to>
      <xdr:col>22</xdr:col>
      <xdr:colOff>447675</xdr:colOff>
      <xdr:row>12</xdr:row>
      <xdr:rowOff>133350</xdr:rowOff>
    </xdr:to>
    <xdr:sp macro="" textlink="">
      <xdr:nvSpPr>
        <xdr:cNvPr id="36" name="TextBox 35">
          <a:extLst>
            <a:ext uri="{FF2B5EF4-FFF2-40B4-BE49-F238E27FC236}">
              <a16:creationId xmlns:a16="http://schemas.microsoft.com/office/drawing/2014/main" id="{E5DB12BA-5B37-F00E-27B2-448D528A0CB9}"/>
            </a:ext>
          </a:extLst>
        </xdr:cNvPr>
        <xdr:cNvSpPr txBox="1"/>
      </xdr:nvSpPr>
      <xdr:spPr>
        <a:xfrm>
          <a:off x="11010900" y="2209800"/>
          <a:ext cx="28479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CBD5E1"/>
              </a:solidFill>
            </a:rPr>
            <a:t>Patient</a:t>
          </a:r>
          <a:r>
            <a:rPr lang="en-US" sz="1000" b="1" baseline="0">
              <a:solidFill>
                <a:srgbClr val="CBD5E1"/>
              </a:solidFill>
            </a:rPr>
            <a:t> Age Distribution</a:t>
          </a:r>
          <a:endParaRPr lang="en-US" sz="1050" b="1">
            <a:solidFill>
              <a:srgbClr val="CBD5E1"/>
            </a:solidFill>
          </a:endParaRPr>
        </a:p>
      </xdr:txBody>
    </xdr:sp>
    <xdr:clientData/>
  </xdr:twoCellAnchor>
  <xdr:twoCellAnchor>
    <xdr:from>
      <xdr:col>18</xdr:col>
      <xdr:colOff>28575</xdr:colOff>
      <xdr:row>12</xdr:row>
      <xdr:rowOff>171450</xdr:rowOff>
    </xdr:from>
    <xdr:to>
      <xdr:col>22</xdr:col>
      <xdr:colOff>457200</xdr:colOff>
      <xdr:row>22</xdr:row>
      <xdr:rowOff>104775</xdr:rowOff>
    </xdr:to>
    <xdr:graphicFrame macro="">
      <xdr:nvGraphicFramePr>
        <xdr:cNvPr id="37" name="Chart 36">
          <a:extLst>
            <a:ext uri="{FF2B5EF4-FFF2-40B4-BE49-F238E27FC236}">
              <a16:creationId xmlns:a16="http://schemas.microsoft.com/office/drawing/2014/main" id="{43AE5C99-92ED-47F4-BEE9-05981C218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47625</xdr:colOff>
      <xdr:row>4</xdr:row>
      <xdr:rowOff>123825</xdr:rowOff>
    </xdr:from>
    <xdr:to>
      <xdr:col>10</xdr:col>
      <xdr:colOff>457200</xdr:colOff>
      <xdr:row>7</xdr:row>
      <xdr:rowOff>152401</xdr:rowOff>
    </xdr:to>
    <xdr:sp macro="" textlink="ANALYSIS!D33">
      <xdr:nvSpPr>
        <xdr:cNvPr id="38" name="TextBox 37">
          <a:extLst>
            <a:ext uri="{FF2B5EF4-FFF2-40B4-BE49-F238E27FC236}">
              <a16:creationId xmlns:a16="http://schemas.microsoft.com/office/drawing/2014/main" id="{99E68F1F-9998-E072-E597-5DE57D8EB88B}"/>
            </a:ext>
          </a:extLst>
        </xdr:cNvPr>
        <xdr:cNvSpPr txBox="1"/>
      </xdr:nvSpPr>
      <xdr:spPr>
        <a:xfrm>
          <a:off x="4924425" y="885825"/>
          <a:ext cx="1628775"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1560F8-FC63-4BFB-961A-2FAA8AB8D8DE}" type="TxLink">
            <a:rPr lang="en-US" sz="3200" b="1" i="0" u="none" strike="noStrike">
              <a:solidFill>
                <a:srgbClr val="CBD5E1"/>
              </a:solidFill>
              <a:latin typeface="Calibri"/>
              <a:ea typeface="Calibri"/>
              <a:cs typeface="Calibri"/>
            </a:rPr>
            <a:pPr algn="ctr"/>
            <a:t>15</a:t>
          </a:fld>
          <a:endParaRPr lang="en-US" sz="3200" b="1">
            <a:solidFill>
              <a:srgbClr val="CBD5E1"/>
            </a:solidFill>
          </a:endParaRPr>
        </a:p>
      </xdr:txBody>
    </xdr:sp>
    <xdr:clientData/>
  </xdr:twoCellAnchor>
  <xdr:twoCellAnchor>
    <xdr:from>
      <xdr:col>11</xdr:col>
      <xdr:colOff>66675</xdr:colOff>
      <xdr:row>4</xdr:row>
      <xdr:rowOff>123825</xdr:rowOff>
    </xdr:from>
    <xdr:to>
      <xdr:col>13</xdr:col>
      <xdr:colOff>466725</xdr:colOff>
      <xdr:row>7</xdr:row>
      <xdr:rowOff>95250</xdr:rowOff>
    </xdr:to>
    <xdr:sp macro="" textlink="ANALYSIS!O33">
      <xdr:nvSpPr>
        <xdr:cNvPr id="39" name="TextBox 38">
          <a:extLst>
            <a:ext uri="{FF2B5EF4-FFF2-40B4-BE49-F238E27FC236}">
              <a16:creationId xmlns:a16="http://schemas.microsoft.com/office/drawing/2014/main" id="{29EB80D4-7857-E76F-5C8F-0F51A37AF802}"/>
            </a:ext>
          </a:extLst>
        </xdr:cNvPr>
        <xdr:cNvSpPr txBox="1"/>
      </xdr:nvSpPr>
      <xdr:spPr>
        <a:xfrm>
          <a:off x="6772275" y="885825"/>
          <a:ext cx="16192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1F3BFCB-6A8A-4C2D-8C71-6294D42F9201}" type="TxLink">
            <a:rPr lang="en-US" sz="3200" b="1" i="0" u="none" strike="noStrike">
              <a:solidFill>
                <a:srgbClr val="CBD5E1"/>
              </a:solidFill>
              <a:latin typeface="Calibri"/>
              <a:ea typeface="Calibri"/>
              <a:cs typeface="Calibri"/>
            </a:rPr>
            <a:pPr algn="ctr"/>
            <a:t>5.6</a:t>
          </a:fld>
          <a:endParaRPr lang="en-US" sz="3600" b="1">
            <a:solidFill>
              <a:srgbClr val="CBD5E1"/>
            </a:solidFill>
          </a:endParaRPr>
        </a:p>
      </xdr:txBody>
    </xdr:sp>
    <xdr:clientData/>
  </xdr:twoCellAnchor>
  <xdr:twoCellAnchor>
    <xdr:from>
      <xdr:col>14</xdr:col>
      <xdr:colOff>57150</xdr:colOff>
      <xdr:row>4</xdr:row>
      <xdr:rowOff>133350</xdr:rowOff>
    </xdr:from>
    <xdr:to>
      <xdr:col>16</xdr:col>
      <xdr:colOff>466725</xdr:colOff>
      <xdr:row>7</xdr:row>
      <xdr:rowOff>104775</xdr:rowOff>
    </xdr:to>
    <xdr:sp macro="" textlink="ANALYSIS!B33">
      <xdr:nvSpPr>
        <xdr:cNvPr id="40" name="TextBox 39">
          <a:extLst>
            <a:ext uri="{FF2B5EF4-FFF2-40B4-BE49-F238E27FC236}">
              <a16:creationId xmlns:a16="http://schemas.microsoft.com/office/drawing/2014/main" id="{E68F6A1C-5116-4B06-BEF2-53173ABD2C1D}"/>
            </a:ext>
          </a:extLst>
        </xdr:cNvPr>
        <xdr:cNvSpPr txBox="1"/>
      </xdr:nvSpPr>
      <xdr:spPr>
        <a:xfrm>
          <a:off x="8591550" y="895350"/>
          <a:ext cx="16287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0B0EAA-F1C2-4D7C-99E7-F5AE3A5F2583}" type="TxLink">
            <a:rPr lang="en-US" sz="2800" b="1" i="0" u="none" strike="noStrike">
              <a:solidFill>
                <a:srgbClr val="CBD5E1"/>
              </a:solidFill>
              <a:latin typeface="Calibri"/>
              <a:ea typeface="Calibri"/>
              <a:cs typeface="Calibri"/>
            </a:rPr>
            <a:pPr algn="ctr"/>
            <a:t> $76,850 </a:t>
          </a:fld>
          <a:endParaRPr lang="en-US" sz="2800" b="1">
            <a:solidFill>
              <a:srgbClr val="CBD5E1"/>
            </a:solidFill>
          </a:endParaRPr>
        </a:p>
      </xdr:txBody>
    </xdr:sp>
    <xdr:clientData/>
  </xdr:twoCellAnchor>
  <xdr:twoCellAnchor>
    <xdr:from>
      <xdr:col>17</xdr:col>
      <xdr:colOff>47625</xdr:colOff>
      <xdr:row>4</xdr:row>
      <xdr:rowOff>142875</xdr:rowOff>
    </xdr:from>
    <xdr:to>
      <xdr:col>19</xdr:col>
      <xdr:colOff>457200</xdr:colOff>
      <xdr:row>7</xdr:row>
      <xdr:rowOff>114300</xdr:rowOff>
    </xdr:to>
    <xdr:sp macro="" textlink="ANALYSIS!O46">
      <xdr:nvSpPr>
        <xdr:cNvPr id="41" name="TextBox 40">
          <a:extLst>
            <a:ext uri="{FF2B5EF4-FFF2-40B4-BE49-F238E27FC236}">
              <a16:creationId xmlns:a16="http://schemas.microsoft.com/office/drawing/2014/main" id="{8B2A35C5-F2B9-47DF-B8FF-978CAB43B034}"/>
            </a:ext>
          </a:extLst>
        </xdr:cNvPr>
        <xdr:cNvSpPr txBox="1"/>
      </xdr:nvSpPr>
      <xdr:spPr>
        <a:xfrm>
          <a:off x="10410825" y="904875"/>
          <a:ext cx="16287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4AA2BC-BC7B-4A44-86B4-74D5AB800AB8}" type="TxLink">
            <a:rPr lang="en-US" sz="2800" b="1" i="0" u="none" strike="noStrike">
              <a:solidFill>
                <a:srgbClr val="CBD5E1"/>
              </a:solidFill>
              <a:latin typeface="Calibri"/>
              <a:ea typeface="Calibri"/>
              <a:cs typeface="Calibri"/>
            </a:rPr>
            <a:pPr algn="ctr"/>
            <a:t>13%</a:t>
          </a:fld>
          <a:endParaRPr lang="en-US" sz="2800" b="1">
            <a:solidFill>
              <a:srgbClr val="CBD5E1"/>
            </a:solidFill>
          </a:endParaRPr>
        </a:p>
      </xdr:txBody>
    </xdr:sp>
    <xdr:clientData/>
  </xdr:twoCellAnchor>
  <xdr:twoCellAnchor>
    <xdr:from>
      <xdr:col>20</xdr:col>
      <xdr:colOff>38100</xdr:colOff>
      <xdr:row>4</xdr:row>
      <xdr:rowOff>161925</xdr:rowOff>
    </xdr:from>
    <xdr:to>
      <xdr:col>22</xdr:col>
      <xdr:colOff>447675</xdr:colOff>
      <xdr:row>7</xdr:row>
      <xdr:rowOff>133350</xdr:rowOff>
    </xdr:to>
    <xdr:sp macro="" textlink="ANALYSIS!G33">
      <xdr:nvSpPr>
        <xdr:cNvPr id="43" name="TextBox 42">
          <a:extLst>
            <a:ext uri="{FF2B5EF4-FFF2-40B4-BE49-F238E27FC236}">
              <a16:creationId xmlns:a16="http://schemas.microsoft.com/office/drawing/2014/main" id="{FBE4FECD-E46A-428C-86EE-4ADC21D16075}"/>
            </a:ext>
          </a:extLst>
        </xdr:cNvPr>
        <xdr:cNvSpPr txBox="1"/>
      </xdr:nvSpPr>
      <xdr:spPr>
        <a:xfrm>
          <a:off x="12230100" y="923925"/>
          <a:ext cx="16287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638F84-DA84-45D6-944E-90211C44B22A}" type="TxLink">
            <a:rPr lang="en-US" sz="2800" b="1" i="0" u="none" strike="noStrike">
              <a:solidFill>
                <a:srgbClr val="CBD5E1"/>
              </a:solidFill>
              <a:latin typeface="Calibri"/>
              <a:ea typeface="Calibri"/>
              <a:cs typeface="Calibri"/>
            </a:rPr>
            <a:pPr algn="ctr"/>
            <a:t>7.87</a:t>
          </a:fld>
          <a:endParaRPr lang="en-US" sz="2800" b="1">
            <a:solidFill>
              <a:srgbClr val="CBD5E1"/>
            </a:solidFill>
          </a:endParaRPr>
        </a:p>
      </xdr:txBody>
    </xdr:sp>
    <xdr:clientData/>
  </xdr:twoCellAnchor>
  <xdr:twoCellAnchor editAs="oneCell">
    <xdr:from>
      <xdr:col>5</xdr:col>
      <xdr:colOff>200026</xdr:colOff>
      <xdr:row>15</xdr:row>
      <xdr:rowOff>171453</xdr:rowOff>
    </xdr:from>
    <xdr:to>
      <xdr:col>7</xdr:col>
      <xdr:colOff>390526</xdr:colOff>
      <xdr:row>26</xdr:row>
      <xdr:rowOff>95250</xdr:rowOff>
    </xdr:to>
    <mc:AlternateContent xmlns:mc="http://schemas.openxmlformats.org/markup-compatibility/2006">
      <mc:Choice xmlns:a14="http://schemas.microsoft.com/office/drawing/2010/main" Requires="a14">
        <xdr:graphicFrame macro="">
          <xdr:nvGraphicFramePr>
            <xdr:cNvPr id="44" name="Department 2">
              <a:extLst>
                <a:ext uri="{FF2B5EF4-FFF2-40B4-BE49-F238E27FC236}">
                  <a16:creationId xmlns:a16="http://schemas.microsoft.com/office/drawing/2014/main" id="{4876AFCF-37B6-970B-5C97-4DCE7C19D56F}"/>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3248026" y="3028953"/>
              <a:ext cx="1409700" cy="2019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190500</xdr:colOff>
      <xdr:row>26</xdr:row>
      <xdr:rowOff>161925</xdr:rowOff>
    </xdr:from>
    <xdr:to>
      <xdr:col>7</xdr:col>
      <xdr:colOff>381000</xdr:colOff>
      <xdr:row>34</xdr:row>
      <xdr:rowOff>133350</xdr:rowOff>
    </xdr:to>
    <mc:AlternateContent xmlns:mc="http://schemas.openxmlformats.org/markup-compatibility/2006">
      <mc:Choice xmlns:a14="http://schemas.microsoft.com/office/drawing/2010/main" Requires="a14">
        <xdr:graphicFrame macro="">
          <xdr:nvGraphicFramePr>
            <xdr:cNvPr id="45" name="Treatment Type 2">
              <a:extLst>
                <a:ext uri="{FF2B5EF4-FFF2-40B4-BE49-F238E27FC236}">
                  <a16:creationId xmlns:a16="http://schemas.microsoft.com/office/drawing/2014/main" id="{2C5FF72E-C341-9341-3F7E-4901676A11FB}"/>
                </a:ext>
              </a:extLst>
            </xdr:cNvPr>
            <xdr:cNvGraphicFramePr/>
          </xdr:nvGraphicFramePr>
          <xdr:xfrm>
            <a:off x="0" y="0"/>
            <a:ext cx="0" cy="0"/>
          </xdr:xfrm>
          <a:graphic>
            <a:graphicData uri="http://schemas.microsoft.com/office/drawing/2010/slicer">
              <sle:slicer xmlns:sle="http://schemas.microsoft.com/office/drawing/2010/slicer" name="Treatment Type 2"/>
            </a:graphicData>
          </a:graphic>
        </xdr:graphicFrame>
      </mc:Choice>
      <mc:Fallback>
        <xdr:sp macro="" textlink="">
          <xdr:nvSpPr>
            <xdr:cNvPr id="0" name=""/>
            <xdr:cNvSpPr>
              <a:spLocks noTextEdit="1"/>
            </xdr:cNvSpPr>
          </xdr:nvSpPr>
          <xdr:spPr>
            <a:xfrm>
              <a:off x="3238500" y="5114925"/>
              <a:ext cx="14097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66674</xdr:colOff>
      <xdr:row>6</xdr:row>
      <xdr:rowOff>19049</xdr:rowOff>
    </xdr:from>
    <xdr:to>
      <xdr:col>11</xdr:col>
      <xdr:colOff>542925</xdr:colOff>
      <xdr:row>8</xdr:row>
      <xdr:rowOff>114300</xdr:rowOff>
    </xdr:to>
    <xdr:pic>
      <xdr:nvPicPr>
        <xdr:cNvPr id="48" name="Graphic 47" descr="Inpatient outline">
          <a:extLst>
            <a:ext uri="{FF2B5EF4-FFF2-40B4-BE49-F238E27FC236}">
              <a16:creationId xmlns:a16="http://schemas.microsoft.com/office/drawing/2014/main" id="{40E4CCEA-1362-C308-62EE-E633B763730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2274" y="1162049"/>
          <a:ext cx="476251" cy="476251"/>
        </a:xfrm>
        <a:prstGeom prst="rect">
          <a:avLst/>
        </a:prstGeom>
      </xdr:spPr>
    </xdr:pic>
    <xdr:clientData/>
  </xdr:twoCellAnchor>
  <xdr:twoCellAnchor>
    <xdr:from>
      <xdr:col>20</xdr:col>
      <xdr:colOff>188099</xdr:colOff>
      <xdr:row>6</xdr:row>
      <xdr:rowOff>128462</xdr:rowOff>
    </xdr:from>
    <xdr:to>
      <xdr:col>20</xdr:col>
      <xdr:colOff>457201</xdr:colOff>
      <xdr:row>8</xdr:row>
      <xdr:rowOff>85725</xdr:rowOff>
    </xdr:to>
    <xdr:grpSp>
      <xdr:nvGrpSpPr>
        <xdr:cNvPr id="58" name="Graphic 51" descr="Comment Heart outline">
          <a:extLst>
            <a:ext uri="{FF2B5EF4-FFF2-40B4-BE49-F238E27FC236}">
              <a16:creationId xmlns:a16="http://schemas.microsoft.com/office/drawing/2014/main" id="{79389B35-CBD5-01C8-3DEC-D18C5AFD2314}"/>
            </a:ext>
          </a:extLst>
        </xdr:cNvPr>
        <xdr:cNvGrpSpPr/>
      </xdr:nvGrpSpPr>
      <xdr:grpSpPr>
        <a:xfrm>
          <a:off x="12380099" y="1271462"/>
          <a:ext cx="269102" cy="338263"/>
          <a:chOff x="1378723" y="2159822"/>
          <a:chExt cx="647703" cy="590664"/>
        </a:xfrm>
        <a:solidFill>
          <a:srgbClr val="CBD5E1"/>
        </a:solidFill>
      </xdr:grpSpPr>
      <xdr:sp macro="" textlink="">
        <xdr:nvSpPr>
          <xdr:cNvPr id="59" name="Freeform: Shape 58">
            <a:extLst>
              <a:ext uri="{FF2B5EF4-FFF2-40B4-BE49-F238E27FC236}">
                <a16:creationId xmlns:a16="http://schemas.microsoft.com/office/drawing/2014/main" id="{02584B40-2814-9561-124B-6D4ACC4CC0EA}"/>
              </a:ext>
            </a:extLst>
          </xdr:cNvPr>
          <xdr:cNvSpPr/>
        </xdr:nvSpPr>
        <xdr:spPr>
          <a:xfrm>
            <a:off x="1567872" y="2264550"/>
            <a:ext cx="269405" cy="262108"/>
          </a:xfrm>
          <a:custGeom>
            <a:avLst/>
            <a:gdLst>
              <a:gd name="csX0" fmla="*/ 192529 w 269405"/>
              <a:gd name="csY0" fmla="*/ 0 h 262108"/>
              <a:gd name="csX1" fmla="*/ 192529 w 269405"/>
              <a:gd name="csY1" fmla="*/ 0 h 262108"/>
              <a:gd name="csX2" fmla="*/ 134703 w 269405"/>
              <a:gd name="csY2" fmla="*/ 29794 h 262108"/>
              <a:gd name="csX3" fmla="*/ 76867 w 269405"/>
              <a:gd name="csY3" fmla="*/ 0 h 262108"/>
              <a:gd name="csX4" fmla="*/ 0 w 269405"/>
              <a:gd name="csY4" fmla="*/ 78296 h 262108"/>
              <a:gd name="csX5" fmla="*/ 123130 w 269405"/>
              <a:gd name="csY5" fmla="*/ 253260 h 262108"/>
              <a:gd name="csX6" fmla="*/ 134703 w 269405"/>
              <a:gd name="csY6" fmla="*/ 262109 h 262108"/>
              <a:gd name="csX7" fmla="*/ 146275 w 269405"/>
              <a:gd name="csY7" fmla="*/ 253260 h 262108"/>
              <a:gd name="csX8" fmla="*/ 269405 w 269405"/>
              <a:gd name="csY8" fmla="*/ 78296 h 262108"/>
              <a:gd name="csX9" fmla="*/ 192529 w 269405"/>
              <a:gd name="csY9" fmla="*/ 0 h 262108"/>
              <a:gd name="csX10" fmla="*/ 134703 w 269405"/>
              <a:gd name="csY10" fmla="*/ 238125 h 262108"/>
              <a:gd name="csX11" fmla="*/ 19050 w 269405"/>
              <a:gd name="csY11" fmla="*/ 78296 h 262108"/>
              <a:gd name="csX12" fmla="*/ 76867 w 269405"/>
              <a:gd name="csY12" fmla="*/ 19050 h 262108"/>
              <a:gd name="csX13" fmla="*/ 134617 w 269405"/>
              <a:gd name="csY13" fmla="*/ 64551 h 262108"/>
              <a:gd name="csX14" fmla="*/ 134726 w 269405"/>
              <a:gd name="csY14" fmla="*/ 64603 h 262108"/>
              <a:gd name="csX15" fmla="*/ 134779 w 269405"/>
              <a:gd name="csY15" fmla="*/ 64551 h 262108"/>
              <a:gd name="csX16" fmla="*/ 192529 w 269405"/>
              <a:gd name="csY16" fmla="*/ 19050 h 262108"/>
              <a:gd name="csX17" fmla="*/ 250346 w 269405"/>
              <a:gd name="csY17" fmla="*/ 78296 h 262108"/>
              <a:gd name="csX18" fmla="*/ 134703 w 269405"/>
              <a:gd name="csY18" fmla="*/ 238125 h 26210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Lst>
            <a:rect l="l" t="t" r="r" b="b"/>
            <a:pathLst>
              <a:path w="269405" h="262108">
                <a:moveTo>
                  <a:pt x="192529" y="0"/>
                </a:moveTo>
                <a:lnTo>
                  <a:pt x="192529" y="0"/>
                </a:lnTo>
                <a:cubicBezTo>
                  <a:pt x="169714" y="576"/>
                  <a:pt x="148414" y="11550"/>
                  <a:pt x="134703" y="29794"/>
                </a:cubicBezTo>
                <a:cubicBezTo>
                  <a:pt x="120991" y="11544"/>
                  <a:pt x="99686" y="569"/>
                  <a:pt x="76867" y="0"/>
                </a:cubicBezTo>
                <a:cubicBezTo>
                  <a:pt x="34705" y="1967"/>
                  <a:pt x="1191" y="36105"/>
                  <a:pt x="0" y="78296"/>
                </a:cubicBezTo>
                <a:cubicBezTo>
                  <a:pt x="0" y="156858"/>
                  <a:pt x="110490" y="243621"/>
                  <a:pt x="123130" y="253260"/>
                </a:cubicBezTo>
                <a:lnTo>
                  <a:pt x="134703" y="262109"/>
                </a:lnTo>
                <a:lnTo>
                  <a:pt x="146275" y="253260"/>
                </a:lnTo>
                <a:cubicBezTo>
                  <a:pt x="158877" y="243621"/>
                  <a:pt x="269405" y="156858"/>
                  <a:pt x="269405" y="78296"/>
                </a:cubicBezTo>
                <a:cubicBezTo>
                  <a:pt x="268214" y="36102"/>
                  <a:pt x="234694" y="1962"/>
                  <a:pt x="192529" y="0"/>
                </a:cubicBezTo>
                <a:close/>
                <a:moveTo>
                  <a:pt x="134703" y="238125"/>
                </a:moveTo>
                <a:cubicBezTo>
                  <a:pt x="134703" y="238125"/>
                  <a:pt x="19050" y="149714"/>
                  <a:pt x="19050" y="78296"/>
                </a:cubicBezTo>
                <a:cubicBezTo>
                  <a:pt x="20345" y="46672"/>
                  <a:pt x="45284" y="21117"/>
                  <a:pt x="76867" y="19050"/>
                </a:cubicBezTo>
                <a:cubicBezTo>
                  <a:pt x="96593" y="19050"/>
                  <a:pt x="117872" y="31432"/>
                  <a:pt x="134617" y="64551"/>
                </a:cubicBezTo>
                <a:cubicBezTo>
                  <a:pt x="134632" y="64596"/>
                  <a:pt x="134682" y="64619"/>
                  <a:pt x="134726" y="64603"/>
                </a:cubicBezTo>
                <a:cubicBezTo>
                  <a:pt x="134751" y="64595"/>
                  <a:pt x="134770" y="64576"/>
                  <a:pt x="134779" y="64551"/>
                </a:cubicBezTo>
                <a:cubicBezTo>
                  <a:pt x="151524" y="31432"/>
                  <a:pt x="172803" y="19050"/>
                  <a:pt x="192529" y="19050"/>
                </a:cubicBezTo>
                <a:cubicBezTo>
                  <a:pt x="224112" y="21117"/>
                  <a:pt x="249050" y="46672"/>
                  <a:pt x="250346" y="78296"/>
                </a:cubicBezTo>
                <a:cubicBezTo>
                  <a:pt x="250346" y="149714"/>
                  <a:pt x="134703" y="238125"/>
                  <a:pt x="134703" y="238125"/>
                </a:cubicBezTo>
                <a:close/>
              </a:path>
            </a:pathLst>
          </a:custGeom>
          <a:solidFill>
            <a:srgbClr val="CBD5E1"/>
          </a:solidFill>
          <a:ln w="9525" cap="flat">
            <a:noFill/>
            <a:prstDash val="solid"/>
            <a:miter/>
          </a:ln>
        </xdr:spPr>
      </xdr:sp>
      <xdr:sp macro="" textlink="">
        <xdr:nvSpPr>
          <xdr:cNvPr id="60" name="Freeform: Shape 59">
            <a:extLst>
              <a:ext uri="{FF2B5EF4-FFF2-40B4-BE49-F238E27FC236}">
                <a16:creationId xmlns:a16="http://schemas.microsoft.com/office/drawing/2014/main" id="{8A1BE59A-7CB5-5BC8-1FDD-2AF257AFCB4E}"/>
              </a:ext>
            </a:extLst>
          </xdr:cNvPr>
          <xdr:cNvSpPr/>
        </xdr:nvSpPr>
        <xdr:spPr>
          <a:xfrm>
            <a:off x="1378723" y="2159822"/>
            <a:ext cx="647703" cy="590664"/>
          </a:xfrm>
          <a:custGeom>
            <a:avLst/>
            <a:gdLst>
              <a:gd name="csX0" fmla="*/ 615316 w 647703"/>
              <a:gd name="csY0" fmla="*/ 0 h 590664"/>
              <a:gd name="csX1" fmla="*/ 32386 w 647703"/>
              <a:gd name="csY1" fmla="*/ 0 h 590664"/>
              <a:gd name="csX2" fmla="*/ 1 w 647703"/>
              <a:gd name="csY2" fmla="*/ 32385 h 590664"/>
              <a:gd name="csX3" fmla="*/ 1 w 647703"/>
              <a:gd name="csY3" fmla="*/ 425882 h 590664"/>
              <a:gd name="csX4" fmla="*/ 31851 w 647703"/>
              <a:gd name="csY4" fmla="*/ 458267 h 590664"/>
              <a:gd name="csX5" fmla="*/ 32386 w 647703"/>
              <a:gd name="csY5" fmla="*/ 458267 h 590664"/>
              <a:gd name="csX6" fmla="*/ 388621 w 647703"/>
              <a:gd name="csY6" fmla="*/ 458267 h 590664"/>
              <a:gd name="csX7" fmla="*/ 518161 w 647703"/>
              <a:gd name="csY7" fmla="*/ 590664 h 590664"/>
              <a:gd name="csX8" fmla="*/ 518161 w 647703"/>
              <a:gd name="csY8" fmla="*/ 459219 h 590664"/>
              <a:gd name="csX9" fmla="*/ 615316 w 647703"/>
              <a:gd name="csY9" fmla="*/ 459219 h 590664"/>
              <a:gd name="csX10" fmla="*/ 647701 w 647703"/>
              <a:gd name="csY10" fmla="*/ 426834 h 590664"/>
              <a:gd name="csX11" fmla="*/ 647701 w 647703"/>
              <a:gd name="csY11" fmla="*/ 33347 h 590664"/>
              <a:gd name="csX12" fmla="*/ 615316 w 647703"/>
              <a:gd name="csY12" fmla="*/ 0 h 590664"/>
              <a:gd name="csX13" fmla="*/ 628651 w 647703"/>
              <a:gd name="csY13" fmla="*/ 426834 h 590664"/>
              <a:gd name="csX14" fmla="*/ 615316 w 647703"/>
              <a:gd name="csY14" fmla="*/ 440169 h 590664"/>
              <a:gd name="csX15" fmla="*/ 499111 w 647703"/>
              <a:gd name="csY15" fmla="*/ 440169 h 590664"/>
              <a:gd name="csX16" fmla="*/ 499111 w 647703"/>
              <a:gd name="csY16" fmla="*/ 543992 h 590664"/>
              <a:gd name="csX17" fmla="*/ 402261 w 647703"/>
              <a:gd name="csY17" fmla="*/ 444960 h 590664"/>
              <a:gd name="csX18" fmla="*/ 396660 w 647703"/>
              <a:gd name="csY18" fmla="*/ 439245 h 590664"/>
              <a:gd name="csX19" fmla="*/ 32386 w 647703"/>
              <a:gd name="csY19" fmla="*/ 439245 h 590664"/>
              <a:gd name="csX20" fmla="*/ 19051 w 647703"/>
              <a:gd name="csY20" fmla="*/ 426489 h 590664"/>
              <a:gd name="csX21" fmla="*/ 19051 w 647703"/>
              <a:gd name="csY21" fmla="*/ 425910 h 590664"/>
              <a:gd name="csX22" fmla="*/ 19051 w 647703"/>
              <a:gd name="csY22" fmla="*/ 32395 h 590664"/>
              <a:gd name="csX23" fmla="*/ 32386 w 647703"/>
              <a:gd name="csY23" fmla="*/ 19060 h 590664"/>
              <a:gd name="csX24" fmla="*/ 615316 w 647703"/>
              <a:gd name="csY24" fmla="*/ 19060 h 590664"/>
              <a:gd name="csX25" fmla="*/ 628651 w 647703"/>
              <a:gd name="csY25" fmla="*/ 33347 h 59066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Lst>
            <a:rect l="l" t="t" r="r" b="b"/>
            <a:pathLst>
              <a:path w="647703" h="590664">
                <a:moveTo>
                  <a:pt x="615316" y="0"/>
                </a:moveTo>
                <a:lnTo>
                  <a:pt x="32386" y="0"/>
                </a:lnTo>
                <a:cubicBezTo>
                  <a:pt x="14578" y="186"/>
                  <a:pt x="187" y="14577"/>
                  <a:pt x="1" y="32385"/>
                </a:cubicBezTo>
                <a:lnTo>
                  <a:pt x="1" y="425882"/>
                </a:lnTo>
                <a:cubicBezTo>
                  <a:pt x="-147" y="443619"/>
                  <a:pt x="14112" y="458119"/>
                  <a:pt x="31851" y="458267"/>
                </a:cubicBezTo>
                <a:cubicBezTo>
                  <a:pt x="32029" y="458268"/>
                  <a:pt x="32208" y="458268"/>
                  <a:pt x="32386" y="458267"/>
                </a:cubicBezTo>
                <a:lnTo>
                  <a:pt x="388621" y="458267"/>
                </a:lnTo>
                <a:lnTo>
                  <a:pt x="518161" y="590664"/>
                </a:lnTo>
                <a:lnTo>
                  <a:pt x="518161" y="459219"/>
                </a:lnTo>
                <a:lnTo>
                  <a:pt x="615316" y="459219"/>
                </a:lnTo>
                <a:cubicBezTo>
                  <a:pt x="633124" y="459034"/>
                  <a:pt x="647515" y="444642"/>
                  <a:pt x="647701" y="426834"/>
                </a:cubicBezTo>
                <a:lnTo>
                  <a:pt x="647701" y="33347"/>
                </a:lnTo>
                <a:cubicBezTo>
                  <a:pt x="647929" y="15210"/>
                  <a:pt x="633452" y="303"/>
                  <a:pt x="615316" y="0"/>
                </a:cubicBezTo>
                <a:close/>
                <a:moveTo>
                  <a:pt x="628651" y="426834"/>
                </a:moveTo>
                <a:cubicBezTo>
                  <a:pt x="628461" y="434119"/>
                  <a:pt x="622601" y="439979"/>
                  <a:pt x="615316" y="440169"/>
                </a:cubicBezTo>
                <a:lnTo>
                  <a:pt x="499111" y="440169"/>
                </a:lnTo>
                <a:lnTo>
                  <a:pt x="499111" y="543992"/>
                </a:lnTo>
                <a:lnTo>
                  <a:pt x="402261" y="444960"/>
                </a:lnTo>
                <a:lnTo>
                  <a:pt x="396660" y="439245"/>
                </a:lnTo>
                <a:lnTo>
                  <a:pt x="32386" y="439245"/>
                </a:lnTo>
                <a:cubicBezTo>
                  <a:pt x="25181" y="439405"/>
                  <a:pt x="19211" y="433693"/>
                  <a:pt x="19051" y="426489"/>
                </a:cubicBezTo>
                <a:cubicBezTo>
                  <a:pt x="19047" y="426295"/>
                  <a:pt x="19047" y="426103"/>
                  <a:pt x="19051" y="425910"/>
                </a:cubicBezTo>
                <a:lnTo>
                  <a:pt x="19051" y="32395"/>
                </a:lnTo>
                <a:cubicBezTo>
                  <a:pt x="19242" y="25110"/>
                  <a:pt x="25101" y="19250"/>
                  <a:pt x="32386" y="19060"/>
                </a:cubicBezTo>
                <a:lnTo>
                  <a:pt x="615316" y="19060"/>
                </a:lnTo>
                <a:cubicBezTo>
                  <a:pt x="622934" y="19344"/>
                  <a:pt x="628892" y="25728"/>
                  <a:pt x="628651" y="33347"/>
                </a:cubicBezTo>
                <a:close/>
              </a:path>
            </a:pathLst>
          </a:custGeom>
          <a:solidFill>
            <a:srgbClr val="CBD5E1"/>
          </a:solidFill>
          <a:ln w="9525" cap="flat">
            <a:noFill/>
            <a:prstDash val="solid"/>
            <a:miter/>
          </a:ln>
        </xdr:spPr>
      </xdr:sp>
    </xdr:grpSp>
    <xdr:clientData/>
  </xdr:twoCellAnchor>
  <xdr:twoCellAnchor>
    <xdr:from>
      <xdr:col>17</xdr:col>
      <xdr:colOff>100175</xdr:colOff>
      <xdr:row>7</xdr:row>
      <xdr:rowOff>126868</xdr:rowOff>
    </xdr:from>
    <xdr:to>
      <xdr:col>18</xdr:col>
      <xdr:colOff>1</xdr:colOff>
      <xdr:row>9</xdr:row>
      <xdr:rowOff>0</xdr:rowOff>
    </xdr:to>
    <xdr:grpSp>
      <xdr:nvGrpSpPr>
        <xdr:cNvPr id="61" name="Graphic 53" descr="Coffin outline">
          <a:extLst>
            <a:ext uri="{FF2B5EF4-FFF2-40B4-BE49-F238E27FC236}">
              <a16:creationId xmlns:a16="http://schemas.microsoft.com/office/drawing/2014/main" id="{A5F2AA3F-A8DB-E62C-0A60-ADFCA6771A4F}"/>
            </a:ext>
          </a:extLst>
        </xdr:cNvPr>
        <xdr:cNvGrpSpPr/>
      </xdr:nvGrpSpPr>
      <xdr:grpSpPr>
        <a:xfrm>
          <a:off x="10463375" y="1460368"/>
          <a:ext cx="509426" cy="254132"/>
          <a:chOff x="1519399" y="2205005"/>
          <a:chExt cx="645595" cy="821188"/>
        </a:xfrm>
        <a:solidFill>
          <a:srgbClr val="CBD5E1"/>
        </a:solidFill>
      </xdr:grpSpPr>
      <xdr:sp macro="" textlink="">
        <xdr:nvSpPr>
          <xdr:cNvPr id="62" name="Freeform: Shape 61">
            <a:extLst>
              <a:ext uri="{FF2B5EF4-FFF2-40B4-BE49-F238E27FC236}">
                <a16:creationId xmlns:a16="http://schemas.microsoft.com/office/drawing/2014/main" id="{112A9CCC-5D17-04EB-4E92-7AEAA5967734}"/>
              </a:ext>
            </a:extLst>
          </xdr:cNvPr>
          <xdr:cNvSpPr/>
        </xdr:nvSpPr>
        <xdr:spPr>
          <a:xfrm>
            <a:off x="1595354" y="2956179"/>
            <a:ext cx="54667" cy="50963"/>
          </a:xfrm>
          <a:custGeom>
            <a:avLst/>
            <a:gdLst>
              <a:gd name="csX0" fmla="*/ 30925 w 54667"/>
              <a:gd name="csY0" fmla="*/ 0 h 50963"/>
              <a:gd name="csX1" fmla="*/ 30525 w 54667"/>
              <a:gd name="csY1" fmla="*/ 0 h 50963"/>
              <a:gd name="csX2" fmla="*/ 45 w 54667"/>
              <a:gd name="csY2" fmla="*/ 24403 h 50963"/>
              <a:gd name="csX3" fmla="*/ 15456 w 54667"/>
              <a:gd name="csY3" fmla="*/ 49768 h 50963"/>
              <a:gd name="csX4" fmla="*/ 26639 w 54667"/>
              <a:gd name="csY4" fmla="*/ 50959 h 50963"/>
              <a:gd name="csX5" fmla="*/ 42107 w 54667"/>
              <a:gd name="csY5" fmla="*/ 48158 h 50963"/>
              <a:gd name="csX6" fmla="*/ 54338 w 54667"/>
              <a:gd name="csY6" fmla="*/ 24965 h 50963"/>
              <a:gd name="csX7" fmla="*/ 30925 w 54667"/>
              <a:gd name="csY7" fmla="*/ 0 h 50963"/>
              <a:gd name="csX8" fmla="*/ 34830 w 54667"/>
              <a:gd name="csY8" fmla="*/ 30575 h 50963"/>
              <a:gd name="csX9" fmla="*/ 26696 w 54667"/>
              <a:gd name="csY9" fmla="*/ 31909 h 50963"/>
              <a:gd name="csX10" fmla="*/ 21352 w 54667"/>
              <a:gd name="csY10" fmla="*/ 31480 h 50963"/>
              <a:gd name="csX11" fmla="*/ 19257 w 54667"/>
              <a:gd name="csY11" fmla="*/ 27089 h 50963"/>
              <a:gd name="csX12" fmla="*/ 29687 w 54667"/>
              <a:gd name="csY12" fmla="*/ 19412 h 50963"/>
              <a:gd name="csX13" fmla="*/ 35745 w 54667"/>
              <a:gd name="csY13" fmla="*/ 29080 h 50963"/>
              <a:gd name="csX14" fmla="*/ 34830 w 54667"/>
              <a:gd name="csY14" fmla="*/ 30575 h 5096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54667" h="50963">
                <a:moveTo>
                  <a:pt x="30925" y="0"/>
                </a:moveTo>
                <a:lnTo>
                  <a:pt x="30525" y="0"/>
                </a:lnTo>
                <a:cubicBezTo>
                  <a:pt x="19352" y="0"/>
                  <a:pt x="864" y="14078"/>
                  <a:pt x="45" y="24403"/>
                </a:cubicBezTo>
                <a:cubicBezTo>
                  <a:pt x="-590" y="35240"/>
                  <a:pt x="5546" y="45339"/>
                  <a:pt x="15456" y="49768"/>
                </a:cubicBezTo>
                <a:cubicBezTo>
                  <a:pt x="19132" y="50556"/>
                  <a:pt x="22880" y="50955"/>
                  <a:pt x="26639" y="50959"/>
                </a:cubicBezTo>
                <a:cubicBezTo>
                  <a:pt x="31928" y="51042"/>
                  <a:pt x="37183" y="50091"/>
                  <a:pt x="42107" y="48158"/>
                </a:cubicBezTo>
                <a:cubicBezTo>
                  <a:pt x="51009" y="44135"/>
                  <a:pt x="56045" y="34583"/>
                  <a:pt x="54338" y="24965"/>
                </a:cubicBezTo>
                <a:cubicBezTo>
                  <a:pt x="51956" y="15250"/>
                  <a:pt x="42165" y="343"/>
                  <a:pt x="30925" y="0"/>
                </a:cubicBezTo>
                <a:close/>
                <a:moveTo>
                  <a:pt x="34830" y="30575"/>
                </a:moveTo>
                <a:cubicBezTo>
                  <a:pt x="32227" y="31528"/>
                  <a:pt x="29467" y="31980"/>
                  <a:pt x="26696" y="31909"/>
                </a:cubicBezTo>
                <a:cubicBezTo>
                  <a:pt x="24906" y="31907"/>
                  <a:pt x="23119" y="31763"/>
                  <a:pt x="21352" y="31480"/>
                </a:cubicBezTo>
                <a:cubicBezTo>
                  <a:pt x="20389" y="30158"/>
                  <a:pt x="19679" y="28669"/>
                  <a:pt x="19257" y="27089"/>
                </a:cubicBezTo>
                <a:cubicBezTo>
                  <a:pt x="22133" y="23800"/>
                  <a:pt x="25692" y="21180"/>
                  <a:pt x="29687" y="19412"/>
                </a:cubicBezTo>
                <a:cubicBezTo>
                  <a:pt x="32423" y="22126"/>
                  <a:pt x="34497" y="25434"/>
                  <a:pt x="35745" y="29080"/>
                </a:cubicBezTo>
                <a:cubicBezTo>
                  <a:pt x="35517" y="29622"/>
                  <a:pt x="35209" y="30126"/>
                  <a:pt x="34830" y="30575"/>
                </a:cubicBezTo>
                <a:close/>
              </a:path>
            </a:pathLst>
          </a:custGeom>
          <a:solidFill>
            <a:srgbClr val="CBD5E1"/>
          </a:solidFill>
          <a:ln w="9525" cap="flat">
            <a:noFill/>
            <a:prstDash val="solid"/>
            <a:miter/>
          </a:ln>
        </xdr:spPr>
      </xdr:sp>
      <xdr:sp macro="" textlink="">
        <xdr:nvSpPr>
          <xdr:cNvPr id="63" name="Freeform: Shape 62">
            <a:extLst>
              <a:ext uri="{FF2B5EF4-FFF2-40B4-BE49-F238E27FC236}">
                <a16:creationId xmlns:a16="http://schemas.microsoft.com/office/drawing/2014/main" id="{8DE96F90-BEDC-F1DE-4F55-28FE9BF95BC4}"/>
              </a:ext>
            </a:extLst>
          </xdr:cNvPr>
          <xdr:cNvSpPr/>
        </xdr:nvSpPr>
        <xdr:spPr>
          <a:xfrm>
            <a:off x="1873951" y="2975229"/>
            <a:ext cx="54642" cy="50963"/>
          </a:xfrm>
          <a:custGeom>
            <a:avLst/>
            <a:gdLst>
              <a:gd name="csX0" fmla="*/ 30896 w 54642"/>
              <a:gd name="csY0" fmla="*/ 0 h 50963"/>
              <a:gd name="csX1" fmla="*/ 30525 w 54642"/>
              <a:gd name="csY1" fmla="*/ 0 h 50963"/>
              <a:gd name="csX2" fmla="*/ 45 w 54642"/>
              <a:gd name="csY2" fmla="*/ 24403 h 50963"/>
              <a:gd name="csX3" fmla="*/ 15456 w 54642"/>
              <a:gd name="csY3" fmla="*/ 49768 h 50963"/>
              <a:gd name="csX4" fmla="*/ 26648 w 54642"/>
              <a:gd name="csY4" fmla="*/ 50959 h 50963"/>
              <a:gd name="csX5" fmla="*/ 42107 w 54642"/>
              <a:gd name="csY5" fmla="*/ 48158 h 50963"/>
              <a:gd name="csX6" fmla="*/ 54309 w 54642"/>
              <a:gd name="csY6" fmla="*/ 24965 h 50963"/>
              <a:gd name="csX7" fmla="*/ 30896 w 54642"/>
              <a:gd name="csY7" fmla="*/ 0 h 50963"/>
              <a:gd name="csX8" fmla="*/ 34811 w 54642"/>
              <a:gd name="csY8" fmla="*/ 30575 h 50963"/>
              <a:gd name="csX9" fmla="*/ 26677 w 54642"/>
              <a:gd name="csY9" fmla="*/ 31909 h 50963"/>
              <a:gd name="csX10" fmla="*/ 21333 w 54642"/>
              <a:gd name="csY10" fmla="*/ 31480 h 50963"/>
              <a:gd name="csX11" fmla="*/ 19228 w 54642"/>
              <a:gd name="csY11" fmla="*/ 27089 h 50963"/>
              <a:gd name="csX12" fmla="*/ 29658 w 54642"/>
              <a:gd name="csY12" fmla="*/ 19412 h 50963"/>
              <a:gd name="csX13" fmla="*/ 35716 w 54642"/>
              <a:gd name="csY13" fmla="*/ 29080 h 50963"/>
              <a:gd name="csX14" fmla="*/ 34821 w 54642"/>
              <a:gd name="csY14" fmla="*/ 30575 h 5096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54642" h="50963">
                <a:moveTo>
                  <a:pt x="30896" y="0"/>
                </a:moveTo>
                <a:lnTo>
                  <a:pt x="30525" y="0"/>
                </a:lnTo>
                <a:cubicBezTo>
                  <a:pt x="19352" y="0"/>
                  <a:pt x="864" y="14078"/>
                  <a:pt x="45" y="24403"/>
                </a:cubicBezTo>
                <a:cubicBezTo>
                  <a:pt x="-590" y="35240"/>
                  <a:pt x="5546" y="45339"/>
                  <a:pt x="15456" y="49768"/>
                </a:cubicBezTo>
                <a:cubicBezTo>
                  <a:pt x="19135" y="50556"/>
                  <a:pt x="22886" y="50955"/>
                  <a:pt x="26648" y="50959"/>
                </a:cubicBezTo>
                <a:cubicBezTo>
                  <a:pt x="31935" y="51043"/>
                  <a:pt x="37186" y="50091"/>
                  <a:pt x="42107" y="48158"/>
                </a:cubicBezTo>
                <a:cubicBezTo>
                  <a:pt x="51001" y="44127"/>
                  <a:pt x="56025" y="34577"/>
                  <a:pt x="54309" y="24965"/>
                </a:cubicBezTo>
                <a:cubicBezTo>
                  <a:pt x="51966" y="15250"/>
                  <a:pt x="42136" y="343"/>
                  <a:pt x="30896" y="0"/>
                </a:cubicBezTo>
                <a:close/>
                <a:moveTo>
                  <a:pt x="34811" y="30575"/>
                </a:moveTo>
                <a:cubicBezTo>
                  <a:pt x="32207" y="31526"/>
                  <a:pt x="29448" y="31978"/>
                  <a:pt x="26677" y="31909"/>
                </a:cubicBezTo>
                <a:cubicBezTo>
                  <a:pt x="24887" y="31907"/>
                  <a:pt x="23100" y="31764"/>
                  <a:pt x="21333" y="31480"/>
                </a:cubicBezTo>
                <a:cubicBezTo>
                  <a:pt x="20369" y="30158"/>
                  <a:pt x="19654" y="28669"/>
                  <a:pt x="19228" y="27089"/>
                </a:cubicBezTo>
                <a:cubicBezTo>
                  <a:pt x="22104" y="23800"/>
                  <a:pt x="25663" y="21180"/>
                  <a:pt x="29658" y="19412"/>
                </a:cubicBezTo>
                <a:cubicBezTo>
                  <a:pt x="32398" y="22123"/>
                  <a:pt x="34471" y="25432"/>
                  <a:pt x="35716" y="29080"/>
                </a:cubicBezTo>
                <a:cubicBezTo>
                  <a:pt x="35494" y="29620"/>
                  <a:pt x="35192" y="30125"/>
                  <a:pt x="34821" y="30575"/>
                </a:cubicBezTo>
                <a:close/>
              </a:path>
            </a:pathLst>
          </a:custGeom>
          <a:solidFill>
            <a:srgbClr val="CBD5E1"/>
          </a:solidFill>
          <a:ln w="9525" cap="flat">
            <a:noFill/>
            <a:prstDash val="solid"/>
            <a:miter/>
          </a:ln>
        </xdr:spPr>
      </xdr:sp>
      <xdr:sp macro="" textlink="">
        <xdr:nvSpPr>
          <xdr:cNvPr id="64" name="Freeform: Shape 63">
            <a:extLst>
              <a:ext uri="{FF2B5EF4-FFF2-40B4-BE49-F238E27FC236}">
                <a16:creationId xmlns:a16="http://schemas.microsoft.com/office/drawing/2014/main" id="{C91828DC-C997-BDF7-2D81-3B4DEE6C36F8}"/>
              </a:ext>
            </a:extLst>
          </xdr:cNvPr>
          <xdr:cNvSpPr/>
        </xdr:nvSpPr>
        <xdr:spPr>
          <a:xfrm>
            <a:off x="2021709" y="2956176"/>
            <a:ext cx="50015" cy="42051"/>
          </a:xfrm>
          <a:custGeom>
            <a:avLst/>
            <a:gdLst>
              <a:gd name="csX0" fmla="*/ 28748 w 50015"/>
              <a:gd name="csY0" fmla="*/ 4 h 42051"/>
              <a:gd name="csX1" fmla="*/ 17508 w 50015"/>
              <a:gd name="csY1" fmla="*/ 2861 h 42051"/>
              <a:gd name="csX2" fmla="*/ 582 w 50015"/>
              <a:gd name="csY2" fmla="*/ 33598 h 42051"/>
              <a:gd name="csX3" fmla="*/ 16775 w 50015"/>
              <a:gd name="csY3" fmla="*/ 42037 h 42051"/>
              <a:gd name="csX4" fmla="*/ 23052 w 50015"/>
              <a:gd name="csY4" fmla="*/ 40847 h 42051"/>
              <a:gd name="csX5" fmla="*/ 44959 w 50015"/>
              <a:gd name="csY5" fmla="*/ 26007 h 42051"/>
              <a:gd name="csX6" fmla="*/ 46636 w 50015"/>
              <a:gd name="csY6" fmla="*/ 5690 h 42051"/>
              <a:gd name="csX7" fmla="*/ 28748 w 50015"/>
              <a:gd name="csY7" fmla="*/ 4 h 4205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50015" h="42051">
                <a:moveTo>
                  <a:pt x="28748" y="4"/>
                </a:moveTo>
                <a:cubicBezTo>
                  <a:pt x="24813" y="-67"/>
                  <a:pt x="20931" y="920"/>
                  <a:pt x="17508" y="2861"/>
                </a:cubicBezTo>
                <a:cubicBezTo>
                  <a:pt x="7983" y="8462"/>
                  <a:pt x="-2618" y="26893"/>
                  <a:pt x="582" y="33598"/>
                </a:cubicBezTo>
                <a:cubicBezTo>
                  <a:pt x="4107" y="39078"/>
                  <a:pt x="10264" y="42288"/>
                  <a:pt x="16775" y="42037"/>
                </a:cubicBezTo>
                <a:cubicBezTo>
                  <a:pt x="18925" y="42061"/>
                  <a:pt x="21059" y="41656"/>
                  <a:pt x="23052" y="40847"/>
                </a:cubicBezTo>
                <a:cubicBezTo>
                  <a:pt x="31312" y="37487"/>
                  <a:pt x="38776" y="32431"/>
                  <a:pt x="44959" y="26007"/>
                </a:cubicBezTo>
                <a:cubicBezTo>
                  <a:pt x="50265" y="20063"/>
                  <a:pt x="52274" y="10291"/>
                  <a:pt x="46636" y="5690"/>
                </a:cubicBezTo>
                <a:cubicBezTo>
                  <a:pt x="41420" y="1960"/>
                  <a:pt x="35160" y="-30"/>
                  <a:pt x="28748" y="4"/>
                </a:cubicBezTo>
                <a:close/>
              </a:path>
            </a:pathLst>
          </a:custGeom>
          <a:solidFill>
            <a:srgbClr val="CBD5E1"/>
          </a:solidFill>
          <a:ln w="9525" cap="flat">
            <a:noFill/>
            <a:prstDash val="solid"/>
            <a:miter/>
          </a:ln>
        </xdr:spPr>
      </xdr:sp>
      <xdr:sp macro="" textlink="">
        <xdr:nvSpPr>
          <xdr:cNvPr id="65" name="Freeform: Shape 64">
            <a:extLst>
              <a:ext uri="{FF2B5EF4-FFF2-40B4-BE49-F238E27FC236}">
                <a16:creationId xmlns:a16="http://schemas.microsoft.com/office/drawing/2014/main" id="{25A1B92A-54F1-BAC5-BEF9-C96A52498EC6}"/>
              </a:ext>
            </a:extLst>
          </xdr:cNvPr>
          <xdr:cNvSpPr/>
        </xdr:nvSpPr>
        <xdr:spPr>
          <a:xfrm>
            <a:off x="1519399" y="2886555"/>
            <a:ext cx="44009" cy="31486"/>
          </a:xfrm>
          <a:custGeom>
            <a:avLst/>
            <a:gdLst>
              <a:gd name="csX0" fmla="*/ 29680 w 44009"/>
              <a:gd name="csY0" fmla="*/ 1092 h 31486"/>
              <a:gd name="csX1" fmla="*/ 21708 w 44009"/>
              <a:gd name="csY1" fmla="*/ 6 h 31486"/>
              <a:gd name="csX2" fmla="*/ 562 w 44009"/>
              <a:gd name="csY2" fmla="*/ 7369 h 31486"/>
              <a:gd name="csX3" fmla="*/ 8373 w 44009"/>
              <a:gd name="csY3" fmla="*/ 25771 h 31486"/>
              <a:gd name="csX4" fmla="*/ 30071 w 44009"/>
              <a:gd name="csY4" fmla="*/ 31486 h 31486"/>
              <a:gd name="csX5" fmla="*/ 30280 w 44009"/>
              <a:gd name="csY5" fmla="*/ 31486 h 31486"/>
              <a:gd name="csX6" fmla="*/ 44006 w 44009"/>
              <a:gd name="csY6" fmla="*/ 21237 h 31486"/>
              <a:gd name="csX7" fmla="*/ 29680 w 44009"/>
              <a:gd name="csY7" fmla="*/ 1092 h 3148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44009" h="31486">
                <a:moveTo>
                  <a:pt x="29680" y="1092"/>
                </a:moveTo>
                <a:cubicBezTo>
                  <a:pt x="27096" y="313"/>
                  <a:pt x="24406" y="-53"/>
                  <a:pt x="21708" y="6"/>
                </a:cubicBezTo>
                <a:cubicBezTo>
                  <a:pt x="12859" y="6"/>
                  <a:pt x="2439" y="3035"/>
                  <a:pt x="562" y="7369"/>
                </a:cubicBezTo>
                <a:cubicBezTo>
                  <a:pt x="-1384" y="14570"/>
                  <a:pt x="1842" y="22168"/>
                  <a:pt x="8373" y="25771"/>
                </a:cubicBezTo>
                <a:cubicBezTo>
                  <a:pt x="15128" y="29169"/>
                  <a:pt x="22518" y="31116"/>
                  <a:pt x="30071" y="31486"/>
                </a:cubicBezTo>
                <a:lnTo>
                  <a:pt x="30280" y="31486"/>
                </a:lnTo>
                <a:cubicBezTo>
                  <a:pt x="36948" y="31486"/>
                  <a:pt x="44206" y="27343"/>
                  <a:pt x="44006" y="21237"/>
                </a:cubicBezTo>
                <a:cubicBezTo>
                  <a:pt x="43258" y="12413"/>
                  <a:pt x="37770" y="4695"/>
                  <a:pt x="29680" y="1092"/>
                </a:cubicBezTo>
                <a:close/>
              </a:path>
            </a:pathLst>
          </a:custGeom>
          <a:solidFill>
            <a:srgbClr val="CBD5E1"/>
          </a:solidFill>
          <a:ln w="9525" cap="flat">
            <a:noFill/>
            <a:prstDash val="solid"/>
            <a:miter/>
          </a:ln>
        </xdr:spPr>
      </xdr:sp>
      <xdr:sp macro="" textlink="">
        <xdr:nvSpPr>
          <xdr:cNvPr id="66" name="Freeform: Shape 65">
            <a:extLst>
              <a:ext uri="{FF2B5EF4-FFF2-40B4-BE49-F238E27FC236}">
                <a16:creationId xmlns:a16="http://schemas.microsoft.com/office/drawing/2014/main" id="{65F79466-4067-B371-EB00-B7D33C6BF683}"/>
              </a:ext>
            </a:extLst>
          </xdr:cNvPr>
          <xdr:cNvSpPr/>
        </xdr:nvSpPr>
        <xdr:spPr>
          <a:xfrm>
            <a:off x="1551487" y="2205005"/>
            <a:ext cx="613507" cy="762006"/>
          </a:xfrm>
          <a:custGeom>
            <a:avLst/>
            <a:gdLst>
              <a:gd name="csX0" fmla="*/ 613508 w 613507"/>
              <a:gd name="csY0" fmla="*/ 187637 h 762006"/>
              <a:gd name="csX1" fmla="*/ 612222 w 613507"/>
              <a:gd name="csY1" fmla="*/ 182875 h 762006"/>
              <a:gd name="csX2" fmla="*/ 549395 w 613507"/>
              <a:gd name="csY2" fmla="*/ 74518 h 762006"/>
              <a:gd name="csX3" fmla="*/ 544718 w 613507"/>
              <a:gd name="csY3" fmla="*/ 70394 h 762006"/>
              <a:gd name="csX4" fmla="*/ 367820 w 613507"/>
              <a:gd name="csY4" fmla="*/ 661 h 762006"/>
              <a:gd name="csX5" fmla="*/ 359247 w 613507"/>
              <a:gd name="csY5" fmla="*/ 1471 h 762006"/>
              <a:gd name="csX6" fmla="*/ 159918 w 613507"/>
              <a:gd name="csY6" fmla="*/ 127630 h 762006"/>
              <a:gd name="csX7" fmla="*/ 156031 w 613507"/>
              <a:gd name="csY7" fmla="*/ 132525 h 762006"/>
              <a:gd name="csX8" fmla="*/ 498 w 613507"/>
              <a:gd name="csY8" fmla="*/ 576076 h 762006"/>
              <a:gd name="csX9" fmla="*/ 1345 w 613507"/>
              <a:gd name="csY9" fmla="*/ 583944 h 762006"/>
              <a:gd name="csX10" fmla="*/ 63982 w 613507"/>
              <a:gd name="csY10" fmla="*/ 692357 h 762006"/>
              <a:gd name="csX11" fmla="*/ 69001 w 613507"/>
              <a:gd name="csY11" fmla="*/ 696548 h 762006"/>
              <a:gd name="csX12" fmla="*/ 248700 w 613507"/>
              <a:gd name="csY12" fmla="*/ 761423 h 762006"/>
              <a:gd name="csX13" fmla="*/ 258797 w 613507"/>
              <a:gd name="csY13" fmla="*/ 759137 h 762006"/>
              <a:gd name="csX14" fmla="*/ 610793 w 613507"/>
              <a:gd name="csY14" fmla="*/ 398711 h 762006"/>
              <a:gd name="csX15" fmla="*/ 613498 w 613507"/>
              <a:gd name="csY15" fmla="*/ 392044 h 762006"/>
              <a:gd name="csX16" fmla="*/ 172910 w 613507"/>
              <a:gd name="csY16" fmla="*/ 141965 h 762006"/>
              <a:gd name="csX17" fmla="*/ 365315 w 613507"/>
              <a:gd name="csY17" fmla="*/ 20159 h 762006"/>
              <a:gd name="csX18" fmla="*/ 531697 w 613507"/>
              <a:gd name="csY18" fmla="*/ 85720 h 762006"/>
              <a:gd name="csX19" fmla="*/ 531697 w 613507"/>
              <a:gd name="csY19" fmla="*/ 279811 h 762006"/>
              <a:gd name="csX20" fmla="*/ 186702 w 613507"/>
              <a:gd name="csY20" fmla="*/ 633074 h 762006"/>
              <a:gd name="csX21" fmla="*/ 21595 w 613507"/>
              <a:gd name="csY21" fmla="*/ 573476 h 762006"/>
              <a:gd name="csX22" fmla="*/ 78726 w 613507"/>
              <a:gd name="csY22" fmla="*/ 679803 h 762006"/>
              <a:gd name="csX23" fmla="*/ 30940 w 613507"/>
              <a:gd name="csY23" fmla="*/ 597279 h 762006"/>
              <a:gd name="csX24" fmla="*/ 31054 w 613507"/>
              <a:gd name="csY24" fmla="*/ 597146 h 762006"/>
              <a:gd name="csX25" fmla="*/ 182730 w 613507"/>
              <a:gd name="csY25" fmla="*/ 651895 h 762006"/>
              <a:gd name="csX26" fmla="*/ 230517 w 613507"/>
              <a:gd name="csY26" fmla="*/ 734420 h 762006"/>
              <a:gd name="csX27" fmla="*/ 230403 w 613507"/>
              <a:gd name="csY27" fmla="*/ 734553 h 762006"/>
              <a:gd name="csX28" fmla="*/ 253929 w 613507"/>
              <a:gd name="csY28" fmla="*/ 736839 h 762006"/>
              <a:gd name="csX29" fmla="*/ 201075 w 613507"/>
              <a:gd name="csY29" fmla="*/ 645599 h 762006"/>
              <a:gd name="csX30" fmla="*/ 539213 w 613507"/>
              <a:gd name="csY30" fmla="*/ 299327 h 762006"/>
              <a:gd name="csX31" fmla="*/ 592038 w 613507"/>
              <a:gd name="csY31" fmla="*/ 390567 h 762006"/>
              <a:gd name="csX32" fmla="*/ 550757 w 613507"/>
              <a:gd name="csY32" fmla="*/ 281135 h 762006"/>
              <a:gd name="csX33" fmla="*/ 550757 w 613507"/>
              <a:gd name="csY33" fmla="*/ 115066 h 762006"/>
              <a:gd name="csX34" fmla="*/ 550938 w 613507"/>
              <a:gd name="csY34" fmla="*/ 115066 h 762006"/>
              <a:gd name="csX35" fmla="*/ 594448 w 613507"/>
              <a:gd name="csY35" fmla="*/ 190218 h 762006"/>
              <a:gd name="csX36" fmla="*/ 594448 w 613507"/>
              <a:gd name="csY36" fmla="*/ 356230 h 762006"/>
              <a:gd name="csX37" fmla="*/ 594267 w 613507"/>
              <a:gd name="csY37" fmla="*/ 356230 h 76200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Lst>
            <a:rect l="l" t="t" r="r" b="b"/>
            <a:pathLst>
              <a:path w="613507" h="762006">
                <a:moveTo>
                  <a:pt x="613508" y="187637"/>
                </a:moveTo>
                <a:cubicBezTo>
                  <a:pt x="613502" y="185965"/>
                  <a:pt x="613058" y="184322"/>
                  <a:pt x="612222" y="182875"/>
                </a:cubicBezTo>
                <a:lnTo>
                  <a:pt x="549395" y="74518"/>
                </a:lnTo>
                <a:cubicBezTo>
                  <a:pt x="548351" y="72651"/>
                  <a:pt x="546701" y="71197"/>
                  <a:pt x="544718" y="70394"/>
                </a:cubicBezTo>
                <a:lnTo>
                  <a:pt x="367820" y="661"/>
                </a:lnTo>
                <a:cubicBezTo>
                  <a:pt x="364996" y="-449"/>
                  <a:pt x="361812" y="-149"/>
                  <a:pt x="359247" y="1471"/>
                </a:cubicBezTo>
                <a:lnTo>
                  <a:pt x="159918" y="127630"/>
                </a:lnTo>
                <a:cubicBezTo>
                  <a:pt x="158104" y="128774"/>
                  <a:pt x="156733" y="130500"/>
                  <a:pt x="156031" y="132525"/>
                </a:cubicBezTo>
                <a:lnTo>
                  <a:pt x="498" y="576076"/>
                </a:lnTo>
                <a:cubicBezTo>
                  <a:pt x="-390" y="578696"/>
                  <a:pt x="-80" y="581573"/>
                  <a:pt x="1345" y="583944"/>
                </a:cubicBezTo>
                <a:lnTo>
                  <a:pt x="63982" y="692357"/>
                </a:lnTo>
                <a:cubicBezTo>
                  <a:pt x="65108" y="694303"/>
                  <a:pt x="66886" y="695787"/>
                  <a:pt x="69001" y="696548"/>
                </a:cubicBezTo>
                <a:lnTo>
                  <a:pt x="248700" y="761423"/>
                </a:lnTo>
                <a:cubicBezTo>
                  <a:pt x="252222" y="762716"/>
                  <a:pt x="256175" y="761821"/>
                  <a:pt x="258797" y="759137"/>
                </a:cubicBezTo>
                <a:lnTo>
                  <a:pt x="610793" y="398711"/>
                </a:lnTo>
                <a:cubicBezTo>
                  <a:pt x="612531" y="396928"/>
                  <a:pt x="613503" y="394534"/>
                  <a:pt x="613498" y="392044"/>
                </a:cubicBezTo>
                <a:close/>
                <a:moveTo>
                  <a:pt x="172910" y="141965"/>
                </a:moveTo>
                <a:lnTo>
                  <a:pt x="365315" y="20159"/>
                </a:lnTo>
                <a:lnTo>
                  <a:pt x="531697" y="85720"/>
                </a:lnTo>
                <a:lnTo>
                  <a:pt x="531697" y="279811"/>
                </a:lnTo>
                <a:lnTo>
                  <a:pt x="186702" y="633074"/>
                </a:lnTo>
                <a:lnTo>
                  <a:pt x="21595" y="573476"/>
                </a:lnTo>
                <a:close/>
                <a:moveTo>
                  <a:pt x="78726" y="679803"/>
                </a:moveTo>
                <a:lnTo>
                  <a:pt x="30940" y="597279"/>
                </a:lnTo>
                <a:cubicBezTo>
                  <a:pt x="30873" y="597155"/>
                  <a:pt x="30940" y="597088"/>
                  <a:pt x="31054" y="597146"/>
                </a:cubicBezTo>
                <a:lnTo>
                  <a:pt x="182730" y="651895"/>
                </a:lnTo>
                <a:lnTo>
                  <a:pt x="230517" y="734420"/>
                </a:lnTo>
                <a:cubicBezTo>
                  <a:pt x="230593" y="734544"/>
                  <a:pt x="230517" y="734601"/>
                  <a:pt x="230403" y="734553"/>
                </a:cubicBezTo>
                <a:close/>
                <a:moveTo>
                  <a:pt x="253929" y="736839"/>
                </a:moveTo>
                <a:lnTo>
                  <a:pt x="201075" y="645599"/>
                </a:lnTo>
                <a:lnTo>
                  <a:pt x="539213" y="299327"/>
                </a:lnTo>
                <a:lnTo>
                  <a:pt x="592038" y="390567"/>
                </a:lnTo>
                <a:close/>
                <a:moveTo>
                  <a:pt x="550757" y="281135"/>
                </a:moveTo>
                <a:lnTo>
                  <a:pt x="550757" y="115066"/>
                </a:lnTo>
                <a:cubicBezTo>
                  <a:pt x="550757" y="114876"/>
                  <a:pt x="550843" y="114857"/>
                  <a:pt x="550938" y="115066"/>
                </a:cubicBezTo>
                <a:lnTo>
                  <a:pt x="594448" y="190218"/>
                </a:lnTo>
                <a:lnTo>
                  <a:pt x="594448" y="356230"/>
                </a:lnTo>
                <a:cubicBezTo>
                  <a:pt x="594448" y="356420"/>
                  <a:pt x="594362" y="356449"/>
                  <a:pt x="594267" y="356230"/>
                </a:cubicBezTo>
                <a:close/>
              </a:path>
            </a:pathLst>
          </a:custGeom>
          <a:solidFill>
            <a:srgbClr val="CBD5E1"/>
          </a:solidFill>
          <a:ln w="9525" cap="flat">
            <a:noFill/>
            <a:prstDash val="solid"/>
            <a:miter/>
          </a:ln>
        </xdr:spPr>
      </xdr:sp>
      <xdr:sp macro="" textlink="">
        <xdr:nvSpPr>
          <xdr:cNvPr id="67" name="Freeform: Shape 66">
            <a:extLst>
              <a:ext uri="{FF2B5EF4-FFF2-40B4-BE49-F238E27FC236}">
                <a16:creationId xmlns:a16="http://schemas.microsoft.com/office/drawing/2014/main" id="{72DEAA30-D40F-3AE9-36F7-154B7524FA58}"/>
              </a:ext>
            </a:extLst>
          </xdr:cNvPr>
          <xdr:cNvSpPr/>
        </xdr:nvSpPr>
        <xdr:spPr>
          <a:xfrm>
            <a:off x="1966883" y="2846368"/>
            <a:ext cx="81400" cy="71711"/>
          </a:xfrm>
          <a:custGeom>
            <a:avLst/>
            <a:gdLst>
              <a:gd name="csX0" fmla="*/ 81373 w 81400"/>
              <a:gd name="csY0" fmla="*/ 45880 h 71711"/>
              <a:gd name="csX1" fmla="*/ 57561 w 81400"/>
              <a:gd name="csY1" fmla="*/ 1493 h 71711"/>
              <a:gd name="csX2" fmla="*/ 47083 w 81400"/>
              <a:gd name="csY2" fmla="*/ 7 h 71711"/>
              <a:gd name="csX3" fmla="*/ 2096 w 81400"/>
              <a:gd name="csY3" fmla="*/ 20343 h 71711"/>
              <a:gd name="csX4" fmla="*/ 14022 w 81400"/>
              <a:gd name="csY4" fmla="*/ 61596 h 71711"/>
              <a:gd name="csX5" fmla="*/ 50474 w 81400"/>
              <a:gd name="csY5" fmla="*/ 71712 h 71711"/>
              <a:gd name="csX6" fmla="*/ 53703 w 81400"/>
              <a:gd name="csY6" fmla="*/ 71607 h 71711"/>
              <a:gd name="csX7" fmla="*/ 81373 w 81400"/>
              <a:gd name="csY7" fmla="*/ 45880 h 71711"/>
              <a:gd name="csX8" fmla="*/ 52522 w 81400"/>
              <a:gd name="csY8" fmla="*/ 52547 h 71711"/>
              <a:gd name="csX9" fmla="*/ 50512 w 81400"/>
              <a:gd name="csY9" fmla="*/ 52614 h 71711"/>
              <a:gd name="csX10" fmla="*/ 23309 w 81400"/>
              <a:gd name="csY10" fmla="*/ 44937 h 71711"/>
              <a:gd name="csX11" fmla="*/ 19499 w 81400"/>
              <a:gd name="csY11" fmla="*/ 28116 h 71711"/>
              <a:gd name="csX12" fmla="*/ 47064 w 81400"/>
              <a:gd name="csY12" fmla="*/ 19010 h 71711"/>
              <a:gd name="csX13" fmla="*/ 51369 w 81400"/>
              <a:gd name="csY13" fmla="*/ 19476 h 71711"/>
              <a:gd name="csX14" fmla="*/ 62333 w 81400"/>
              <a:gd name="csY14" fmla="*/ 45089 h 71711"/>
              <a:gd name="csX15" fmla="*/ 52522 w 81400"/>
              <a:gd name="csY15" fmla="*/ 52595 h 7171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Lst>
            <a:rect l="l" t="t" r="r" b="b"/>
            <a:pathLst>
              <a:path w="81400" h="71711">
                <a:moveTo>
                  <a:pt x="81373" y="45880"/>
                </a:moveTo>
                <a:cubicBezTo>
                  <a:pt x="81935" y="31678"/>
                  <a:pt x="73858" y="7056"/>
                  <a:pt x="57561" y="1493"/>
                </a:cubicBezTo>
                <a:cubicBezTo>
                  <a:pt x="54172" y="434"/>
                  <a:pt x="50633" y="-68"/>
                  <a:pt x="47083" y="7"/>
                </a:cubicBezTo>
                <a:cubicBezTo>
                  <a:pt x="29938" y="7"/>
                  <a:pt x="6640" y="9151"/>
                  <a:pt x="2096" y="20343"/>
                </a:cubicBezTo>
                <a:cubicBezTo>
                  <a:pt x="-3466" y="34050"/>
                  <a:pt x="2563" y="55386"/>
                  <a:pt x="14022" y="61596"/>
                </a:cubicBezTo>
                <a:cubicBezTo>
                  <a:pt x="25188" y="67837"/>
                  <a:pt x="37689" y="71306"/>
                  <a:pt x="50474" y="71712"/>
                </a:cubicBezTo>
                <a:cubicBezTo>
                  <a:pt x="51560" y="71712"/>
                  <a:pt x="52636" y="71712"/>
                  <a:pt x="53703" y="71607"/>
                </a:cubicBezTo>
                <a:cubicBezTo>
                  <a:pt x="67894" y="70756"/>
                  <a:pt x="79493" y="59971"/>
                  <a:pt x="81373" y="45880"/>
                </a:cubicBezTo>
                <a:close/>
                <a:moveTo>
                  <a:pt x="52522" y="52547"/>
                </a:moveTo>
                <a:cubicBezTo>
                  <a:pt x="51855" y="52547"/>
                  <a:pt x="51188" y="52614"/>
                  <a:pt x="50512" y="52614"/>
                </a:cubicBezTo>
                <a:cubicBezTo>
                  <a:pt x="40969" y="52214"/>
                  <a:pt x="31653" y="49585"/>
                  <a:pt x="23309" y="44937"/>
                </a:cubicBezTo>
                <a:cubicBezTo>
                  <a:pt x="19635" y="40159"/>
                  <a:pt x="18242" y="34010"/>
                  <a:pt x="19499" y="28116"/>
                </a:cubicBezTo>
                <a:cubicBezTo>
                  <a:pt x="27541" y="22335"/>
                  <a:pt x="37161" y="19157"/>
                  <a:pt x="47064" y="19010"/>
                </a:cubicBezTo>
                <a:cubicBezTo>
                  <a:pt x="48515" y="18949"/>
                  <a:pt x="49965" y="19106"/>
                  <a:pt x="51369" y="19476"/>
                </a:cubicBezTo>
                <a:cubicBezTo>
                  <a:pt x="56560" y="21248"/>
                  <a:pt x="62704" y="35602"/>
                  <a:pt x="62333" y="45089"/>
                </a:cubicBezTo>
                <a:cubicBezTo>
                  <a:pt x="62218" y="48147"/>
                  <a:pt x="56713" y="52328"/>
                  <a:pt x="52522" y="52595"/>
                </a:cubicBezTo>
                <a:close/>
              </a:path>
            </a:pathLst>
          </a:custGeom>
          <a:solidFill>
            <a:srgbClr val="CBD5E1"/>
          </a:solidFill>
          <a:ln w="9525" cap="flat">
            <a:noFill/>
            <a:prstDash val="solid"/>
            <a:miter/>
          </a:ln>
        </xdr:spPr>
      </xdr:sp>
    </xdr:grpSp>
    <xdr:clientData/>
  </xdr:twoCellAnchor>
  <xdr:twoCellAnchor>
    <xdr:from>
      <xdr:col>14</xdr:col>
      <xdr:colOff>192825</xdr:colOff>
      <xdr:row>7</xdr:row>
      <xdr:rowOff>66677</xdr:rowOff>
    </xdr:from>
    <xdr:to>
      <xdr:col>15</xdr:col>
      <xdr:colOff>38100</xdr:colOff>
      <xdr:row>8</xdr:row>
      <xdr:rowOff>180975</xdr:rowOff>
    </xdr:to>
    <xdr:grpSp>
      <xdr:nvGrpSpPr>
        <xdr:cNvPr id="68" name="Graphic 55" descr="Money outline">
          <a:extLst>
            <a:ext uri="{FF2B5EF4-FFF2-40B4-BE49-F238E27FC236}">
              <a16:creationId xmlns:a16="http://schemas.microsoft.com/office/drawing/2014/main" id="{9F5B83A0-5907-65F1-D24B-11D880BF768E}"/>
            </a:ext>
          </a:extLst>
        </xdr:cNvPr>
        <xdr:cNvGrpSpPr/>
      </xdr:nvGrpSpPr>
      <xdr:grpSpPr>
        <a:xfrm>
          <a:off x="8727225" y="1400177"/>
          <a:ext cx="454875" cy="304798"/>
          <a:chOff x="1583475" y="2445392"/>
          <a:chExt cx="838314" cy="614457"/>
        </a:xfrm>
        <a:solidFill>
          <a:srgbClr val="CBD5E1"/>
        </a:solidFill>
      </xdr:grpSpPr>
      <xdr:sp macro="" textlink="">
        <xdr:nvSpPr>
          <xdr:cNvPr id="69" name="Freeform: Shape 68">
            <a:extLst>
              <a:ext uri="{FF2B5EF4-FFF2-40B4-BE49-F238E27FC236}">
                <a16:creationId xmlns:a16="http://schemas.microsoft.com/office/drawing/2014/main" id="{175D74F7-D058-A1DA-F17F-A99EE5A405F4}"/>
              </a:ext>
            </a:extLst>
          </xdr:cNvPr>
          <xdr:cNvSpPr/>
        </xdr:nvSpPr>
        <xdr:spPr>
          <a:xfrm>
            <a:off x="1830735" y="2551453"/>
            <a:ext cx="516053" cy="98831"/>
          </a:xfrm>
          <a:custGeom>
            <a:avLst/>
            <a:gdLst>
              <a:gd name="csX0" fmla="*/ 481611 w 516053"/>
              <a:gd name="csY0" fmla="*/ 22403 h 98831"/>
              <a:gd name="csX1" fmla="*/ 496642 w 516053"/>
              <a:gd name="csY1" fmla="*/ 98822 h 98831"/>
              <a:gd name="csX2" fmla="*/ 516054 w 516053"/>
              <a:gd name="csY2" fmla="*/ 98822 h 98831"/>
              <a:gd name="csX3" fmla="*/ 496642 w 516053"/>
              <a:gd name="csY3" fmla="*/ 0 h 98831"/>
              <a:gd name="csX4" fmla="*/ 389 w 516053"/>
              <a:gd name="csY4" fmla="*/ 98650 h 98831"/>
              <a:gd name="csX5" fmla="*/ 389 w 516053"/>
              <a:gd name="csY5" fmla="*/ 98831 h 98831"/>
              <a:gd name="csX6" fmla="*/ 97173 w 516053"/>
              <a:gd name="csY6" fmla="*/ 98831 h 98831"/>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516053" h="98831">
                <a:moveTo>
                  <a:pt x="481611" y="22403"/>
                </a:moveTo>
                <a:lnTo>
                  <a:pt x="496642" y="98822"/>
                </a:lnTo>
                <a:lnTo>
                  <a:pt x="516054" y="98822"/>
                </a:lnTo>
                <a:lnTo>
                  <a:pt x="496642" y="0"/>
                </a:lnTo>
                <a:lnTo>
                  <a:pt x="389" y="98650"/>
                </a:lnTo>
                <a:cubicBezTo>
                  <a:pt x="-135" y="98755"/>
                  <a:pt x="-125" y="98831"/>
                  <a:pt x="389" y="98831"/>
                </a:cubicBezTo>
                <a:lnTo>
                  <a:pt x="97173" y="98831"/>
                </a:lnTo>
                <a:close/>
              </a:path>
            </a:pathLst>
          </a:custGeom>
          <a:solidFill>
            <a:srgbClr val="CBD5E1"/>
          </a:solidFill>
          <a:ln w="9525" cap="flat">
            <a:noFill/>
            <a:prstDash val="solid"/>
            <a:miter/>
          </a:ln>
        </xdr:spPr>
      </xdr:sp>
      <xdr:sp macro="" textlink="">
        <xdr:nvSpPr>
          <xdr:cNvPr id="70" name="Freeform: Shape 69">
            <a:extLst>
              <a:ext uri="{FF2B5EF4-FFF2-40B4-BE49-F238E27FC236}">
                <a16:creationId xmlns:a16="http://schemas.microsoft.com/office/drawing/2014/main" id="{C9C72ED2-C759-65A3-FB67-7BF3FE3F060A}"/>
              </a:ext>
            </a:extLst>
          </xdr:cNvPr>
          <xdr:cNvSpPr/>
        </xdr:nvSpPr>
        <xdr:spPr>
          <a:xfrm>
            <a:off x="1709102" y="2445392"/>
            <a:ext cx="537960" cy="204892"/>
          </a:xfrm>
          <a:custGeom>
            <a:avLst/>
            <a:gdLst>
              <a:gd name="csX0" fmla="*/ 490211 w 537960"/>
              <a:gd name="csY0" fmla="*/ 24927 h 204892"/>
              <a:gd name="csX1" fmla="*/ 518910 w 537960"/>
              <a:gd name="csY1" fmla="*/ 96679 h 204892"/>
              <a:gd name="csX2" fmla="*/ 537960 w 537960"/>
              <a:gd name="csY2" fmla="*/ 92869 h 204892"/>
              <a:gd name="csX3" fmla="*/ 500813 w 537960"/>
              <a:gd name="csY3" fmla="*/ 0 h 204892"/>
              <a:gd name="csX4" fmla="*/ 179 w 537960"/>
              <a:gd name="csY4" fmla="*/ 204711 h 204892"/>
              <a:gd name="csX5" fmla="*/ 179 w 537960"/>
              <a:gd name="csY5" fmla="*/ 204892 h 204892"/>
              <a:gd name="csX6" fmla="*/ 50033 w 537960"/>
              <a:gd name="csY6" fmla="*/ 204892 h 204892"/>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537960" h="204892">
                <a:moveTo>
                  <a:pt x="490211" y="24927"/>
                </a:moveTo>
                <a:lnTo>
                  <a:pt x="518910" y="96679"/>
                </a:lnTo>
                <a:lnTo>
                  <a:pt x="537960" y="92869"/>
                </a:lnTo>
                <a:lnTo>
                  <a:pt x="500813" y="0"/>
                </a:lnTo>
                <a:lnTo>
                  <a:pt x="179" y="204711"/>
                </a:lnTo>
                <a:cubicBezTo>
                  <a:pt x="-69" y="204816"/>
                  <a:pt x="-50" y="204892"/>
                  <a:pt x="179" y="204892"/>
                </a:cubicBezTo>
                <a:lnTo>
                  <a:pt x="50033" y="204892"/>
                </a:lnTo>
                <a:close/>
              </a:path>
            </a:pathLst>
          </a:custGeom>
          <a:solidFill>
            <a:srgbClr val="CBD5E1"/>
          </a:solidFill>
          <a:ln w="9525" cap="flat">
            <a:noFill/>
            <a:prstDash val="solid"/>
            <a:miter/>
          </a:ln>
        </xdr:spPr>
      </xdr:sp>
      <xdr:sp macro="" textlink="">
        <xdr:nvSpPr>
          <xdr:cNvPr id="71" name="Freeform: Shape 70">
            <a:extLst>
              <a:ext uri="{FF2B5EF4-FFF2-40B4-BE49-F238E27FC236}">
                <a16:creationId xmlns:a16="http://schemas.microsoft.com/office/drawing/2014/main" id="{289EC22F-3623-2017-CB87-6D8B0499BDDE}"/>
              </a:ext>
            </a:extLst>
          </xdr:cNvPr>
          <xdr:cNvSpPr/>
        </xdr:nvSpPr>
        <xdr:spPr>
          <a:xfrm>
            <a:off x="1583475" y="2678850"/>
            <a:ext cx="838314" cy="381000"/>
          </a:xfrm>
          <a:custGeom>
            <a:avLst/>
            <a:gdLst>
              <a:gd name="csX0" fmla="*/ 838314 w 838314"/>
              <a:gd name="csY0" fmla="*/ 0 h 381000"/>
              <a:gd name="csX1" fmla="*/ 0 w 838314"/>
              <a:gd name="csY1" fmla="*/ 0 h 381000"/>
              <a:gd name="csX2" fmla="*/ 0 w 838314"/>
              <a:gd name="csY2" fmla="*/ 381000 h 381000"/>
              <a:gd name="csX3" fmla="*/ 838314 w 838314"/>
              <a:gd name="csY3" fmla="*/ 381000 h 381000"/>
              <a:gd name="csX4" fmla="*/ 819264 w 838314"/>
              <a:gd name="csY4" fmla="*/ 361950 h 381000"/>
              <a:gd name="csX5" fmla="*/ 19050 w 838314"/>
              <a:gd name="csY5" fmla="*/ 361950 h 381000"/>
              <a:gd name="csX6" fmla="*/ 19050 w 838314"/>
              <a:gd name="csY6" fmla="*/ 19050 h 381000"/>
              <a:gd name="csX7" fmla="*/ 819264 w 838314"/>
              <a:gd name="csY7" fmla="*/ 19050 h 381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838314" h="381000">
                <a:moveTo>
                  <a:pt x="838314" y="0"/>
                </a:moveTo>
                <a:lnTo>
                  <a:pt x="0" y="0"/>
                </a:lnTo>
                <a:lnTo>
                  <a:pt x="0" y="381000"/>
                </a:lnTo>
                <a:lnTo>
                  <a:pt x="838314" y="381000"/>
                </a:lnTo>
                <a:close/>
                <a:moveTo>
                  <a:pt x="819264" y="361950"/>
                </a:moveTo>
                <a:lnTo>
                  <a:pt x="19050" y="361950"/>
                </a:lnTo>
                <a:lnTo>
                  <a:pt x="19050" y="19050"/>
                </a:lnTo>
                <a:lnTo>
                  <a:pt x="819264" y="19050"/>
                </a:lnTo>
                <a:close/>
              </a:path>
            </a:pathLst>
          </a:custGeom>
          <a:solidFill>
            <a:srgbClr val="CBD5E1"/>
          </a:solidFill>
          <a:ln w="9525" cap="flat">
            <a:noFill/>
            <a:prstDash val="solid"/>
            <a:miter/>
          </a:ln>
        </xdr:spPr>
      </xdr:sp>
      <xdr:sp macro="" textlink="">
        <xdr:nvSpPr>
          <xdr:cNvPr id="72" name="Freeform: Shape 71">
            <a:extLst>
              <a:ext uri="{FF2B5EF4-FFF2-40B4-BE49-F238E27FC236}">
                <a16:creationId xmlns:a16="http://schemas.microsoft.com/office/drawing/2014/main" id="{6C2DF65B-D833-3403-AC62-47F2F488ABD0}"/>
              </a:ext>
            </a:extLst>
          </xdr:cNvPr>
          <xdr:cNvSpPr/>
        </xdr:nvSpPr>
        <xdr:spPr>
          <a:xfrm>
            <a:off x="1934052" y="2783625"/>
            <a:ext cx="137160" cy="171450"/>
          </a:xfrm>
          <a:custGeom>
            <a:avLst/>
            <a:gdLst>
              <a:gd name="csX0" fmla="*/ 68580 w 137160"/>
              <a:gd name="csY0" fmla="*/ 171450 h 171450"/>
              <a:gd name="csX1" fmla="*/ 137160 w 137160"/>
              <a:gd name="csY1" fmla="*/ 85725 h 171450"/>
              <a:gd name="csX2" fmla="*/ 68580 w 137160"/>
              <a:gd name="csY2" fmla="*/ 0 h 171450"/>
              <a:gd name="csX3" fmla="*/ 0 w 137160"/>
              <a:gd name="csY3" fmla="*/ 85725 h 171450"/>
              <a:gd name="csX4" fmla="*/ 68580 w 137160"/>
              <a:gd name="csY4" fmla="*/ 171450 h 171450"/>
              <a:gd name="csX5" fmla="*/ 68580 w 137160"/>
              <a:gd name="csY5" fmla="*/ 19050 h 171450"/>
              <a:gd name="csX6" fmla="*/ 118110 w 137160"/>
              <a:gd name="csY6" fmla="*/ 85725 h 171450"/>
              <a:gd name="csX7" fmla="*/ 68580 w 137160"/>
              <a:gd name="csY7" fmla="*/ 152400 h 171450"/>
              <a:gd name="csX8" fmla="*/ 19050 w 137160"/>
              <a:gd name="csY8" fmla="*/ 85725 h 171450"/>
              <a:gd name="csX9" fmla="*/ 68580 w 137160"/>
              <a:gd name="csY9" fmla="*/ 19050 h 1714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37160" h="171450">
                <a:moveTo>
                  <a:pt x="68580" y="171450"/>
                </a:moveTo>
                <a:cubicBezTo>
                  <a:pt x="106461" y="171450"/>
                  <a:pt x="137160" y="133074"/>
                  <a:pt x="137160" y="85725"/>
                </a:cubicBezTo>
                <a:cubicBezTo>
                  <a:pt x="137160" y="38376"/>
                  <a:pt x="106451" y="0"/>
                  <a:pt x="68580" y="0"/>
                </a:cubicBezTo>
                <a:cubicBezTo>
                  <a:pt x="30709" y="0"/>
                  <a:pt x="0" y="38376"/>
                  <a:pt x="0" y="85725"/>
                </a:cubicBezTo>
                <a:cubicBezTo>
                  <a:pt x="0" y="133074"/>
                  <a:pt x="30699" y="171450"/>
                  <a:pt x="68580" y="171450"/>
                </a:cubicBezTo>
                <a:close/>
                <a:moveTo>
                  <a:pt x="68580" y="19050"/>
                </a:moveTo>
                <a:cubicBezTo>
                  <a:pt x="95898" y="19050"/>
                  <a:pt x="118110" y="48958"/>
                  <a:pt x="118110" y="85725"/>
                </a:cubicBezTo>
                <a:cubicBezTo>
                  <a:pt x="118110" y="122492"/>
                  <a:pt x="95888" y="152400"/>
                  <a:pt x="68580" y="152400"/>
                </a:cubicBezTo>
                <a:cubicBezTo>
                  <a:pt x="41272" y="152400"/>
                  <a:pt x="19050" y="122492"/>
                  <a:pt x="19050" y="85725"/>
                </a:cubicBezTo>
                <a:cubicBezTo>
                  <a:pt x="19050" y="48958"/>
                  <a:pt x="41272" y="19050"/>
                  <a:pt x="68580" y="19050"/>
                </a:cubicBezTo>
                <a:close/>
              </a:path>
            </a:pathLst>
          </a:custGeom>
          <a:solidFill>
            <a:srgbClr val="CBD5E1"/>
          </a:solidFill>
          <a:ln w="9525" cap="flat">
            <a:noFill/>
            <a:prstDash val="solid"/>
            <a:miter/>
          </a:ln>
        </xdr:spPr>
      </xdr:sp>
      <xdr:sp macro="" textlink="">
        <xdr:nvSpPr>
          <xdr:cNvPr id="73" name="Freeform: Shape 72">
            <a:extLst>
              <a:ext uri="{FF2B5EF4-FFF2-40B4-BE49-F238E27FC236}">
                <a16:creationId xmlns:a16="http://schemas.microsoft.com/office/drawing/2014/main" id="{208F43EC-8F73-44BB-8F4E-8C1B071EA6A0}"/>
              </a:ext>
            </a:extLst>
          </xdr:cNvPr>
          <xdr:cNvSpPr/>
        </xdr:nvSpPr>
        <xdr:spPr>
          <a:xfrm>
            <a:off x="1726348" y="2831231"/>
            <a:ext cx="76261" cy="76276"/>
          </a:xfrm>
          <a:custGeom>
            <a:avLst/>
            <a:gdLst>
              <a:gd name="csX0" fmla="*/ 27795 w 76261"/>
              <a:gd name="csY0" fmla="*/ 74875 h 76276"/>
              <a:gd name="csX1" fmla="*/ 74870 w 76261"/>
              <a:gd name="csY1" fmla="*/ 48248 h 76276"/>
              <a:gd name="csX2" fmla="*/ 74868 w 76261"/>
              <a:gd name="csY2" fmla="*/ 27793 h 76276"/>
              <a:gd name="csX3" fmla="*/ 48493 w 76261"/>
              <a:gd name="csY3" fmla="*/ 1409 h 76276"/>
              <a:gd name="csX4" fmla="*/ 1400 w 76261"/>
              <a:gd name="csY4" fmla="*/ 28003 h 76276"/>
              <a:gd name="csX5" fmla="*/ 1401 w 76261"/>
              <a:gd name="csY5" fmla="*/ 48510 h 76276"/>
              <a:gd name="csX6" fmla="*/ 27795 w 76261"/>
              <a:gd name="csY6" fmla="*/ 74875 h 76276"/>
              <a:gd name="csX7" fmla="*/ 38101 w 76261"/>
              <a:gd name="csY7" fmla="*/ 19068 h 76276"/>
              <a:gd name="csX8" fmla="*/ 57151 w 76261"/>
              <a:gd name="csY8" fmla="*/ 38118 h 76276"/>
              <a:gd name="csX9" fmla="*/ 38101 w 76261"/>
              <a:gd name="csY9" fmla="*/ 57168 h 76276"/>
              <a:gd name="csX10" fmla="*/ 19051 w 76261"/>
              <a:gd name="csY10" fmla="*/ 38118 h 76276"/>
              <a:gd name="csX11" fmla="*/ 38101 w 76261"/>
              <a:gd name="csY11" fmla="*/ 19068 h 7627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76261" h="76276">
                <a:moveTo>
                  <a:pt x="27795" y="74875"/>
                </a:moveTo>
                <a:cubicBezTo>
                  <a:pt x="48147" y="80522"/>
                  <a:pt x="69223" y="68600"/>
                  <a:pt x="74870" y="48248"/>
                </a:cubicBezTo>
                <a:cubicBezTo>
                  <a:pt x="76726" y="41556"/>
                  <a:pt x="76726" y="34484"/>
                  <a:pt x="74868" y="27793"/>
                </a:cubicBezTo>
                <a:cubicBezTo>
                  <a:pt x="71365" y="14950"/>
                  <a:pt x="61335" y="4915"/>
                  <a:pt x="48493" y="1409"/>
                </a:cubicBezTo>
                <a:cubicBezTo>
                  <a:pt x="28145" y="-4252"/>
                  <a:pt x="7060" y="7654"/>
                  <a:pt x="1400" y="28003"/>
                </a:cubicBezTo>
                <a:cubicBezTo>
                  <a:pt x="-467" y="34711"/>
                  <a:pt x="-466" y="41802"/>
                  <a:pt x="1401" y="48510"/>
                </a:cubicBezTo>
                <a:cubicBezTo>
                  <a:pt x="4910" y="61353"/>
                  <a:pt x="14949" y="71381"/>
                  <a:pt x="27795" y="74875"/>
                </a:cubicBezTo>
                <a:close/>
                <a:moveTo>
                  <a:pt x="38101" y="19068"/>
                </a:moveTo>
                <a:cubicBezTo>
                  <a:pt x="48623" y="19068"/>
                  <a:pt x="57151" y="27597"/>
                  <a:pt x="57151" y="38118"/>
                </a:cubicBezTo>
                <a:cubicBezTo>
                  <a:pt x="57151" y="48640"/>
                  <a:pt x="48623" y="57168"/>
                  <a:pt x="38101" y="57168"/>
                </a:cubicBezTo>
                <a:cubicBezTo>
                  <a:pt x="27580" y="57168"/>
                  <a:pt x="19051" y="48640"/>
                  <a:pt x="19051" y="38118"/>
                </a:cubicBezTo>
                <a:cubicBezTo>
                  <a:pt x="19051" y="27597"/>
                  <a:pt x="27580" y="19068"/>
                  <a:pt x="38101" y="19068"/>
                </a:cubicBezTo>
                <a:close/>
              </a:path>
            </a:pathLst>
          </a:custGeom>
          <a:solidFill>
            <a:srgbClr val="CBD5E1"/>
          </a:solidFill>
          <a:ln w="9525" cap="flat">
            <a:noFill/>
            <a:prstDash val="solid"/>
            <a:miter/>
          </a:ln>
        </xdr:spPr>
      </xdr:sp>
      <xdr:sp macro="" textlink="">
        <xdr:nvSpPr>
          <xdr:cNvPr id="74" name="Freeform: Shape 73">
            <a:extLst>
              <a:ext uri="{FF2B5EF4-FFF2-40B4-BE49-F238E27FC236}">
                <a16:creationId xmlns:a16="http://schemas.microsoft.com/office/drawing/2014/main" id="{33E15E72-604E-3D60-84F2-16748C33ED1A}"/>
              </a:ext>
            </a:extLst>
          </xdr:cNvPr>
          <xdr:cNvSpPr/>
        </xdr:nvSpPr>
        <xdr:spPr>
          <a:xfrm>
            <a:off x="2202695" y="2831053"/>
            <a:ext cx="76208" cy="76429"/>
          </a:xfrm>
          <a:custGeom>
            <a:avLst/>
            <a:gdLst>
              <a:gd name="csX0" fmla="*/ 45872 w 76208"/>
              <a:gd name="csY0" fmla="*/ 75644 h 76429"/>
              <a:gd name="csX1" fmla="*/ 76200 w 76208"/>
              <a:gd name="csY1" fmla="*/ 36591 h 76429"/>
              <a:gd name="csX2" fmla="*/ 76200 w 76208"/>
              <a:gd name="csY2" fmla="*/ 36591 h 76429"/>
              <a:gd name="csX3" fmla="*/ 59055 w 76208"/>
              <a:gd name="csY3" fmla="*/ 5883 h 76429"/>
              <a:gd name="csX4" fmla="*/ 5876 w 76208"/>
              <a:gd name="csY4" fmla="*/ 18120 h 76429"/>
              <a:gd name="csX5" fmla="*/ 0 w 76208"/>
              <a:gd name="csY5" fmla="*/ 38268 h 76429"/>
              <a:gd name="csX6" fmla="*/ 38171 w 76208"/>
              <a:gd name="csY6" fmla="*/ 76430 h 76429"/>
              <a:gd name="csX7" fmla="*/ 45872 w 76208"/>
              <a:gd name="csY7" fmla="*/ 75644 h 76429"/>
              <a:gd name="csX8" fmla="*/ 38100 w 76208"/>
              <a:gd name="csY8" fmla="*/ 19246 h 76429"/>
              <a:gd name="csX9" fmla="*/ 57150 w 76208"/>
              <a:gd name="csY9" fmla="*/ 38296 h 76429"/>
              <a:gd name="csX10" fmla="*/ 38100 w 76208"/>
              <a:gd name="csY10" fmla="*/ 57346 h 76429"/>
              <a:gd name="csX11" fmla="*/ 19050 w 76208"/>
              <a:gd name="csY11" fmla="*/ 38296 h 76429"/>
              <a:gd name="csX12" fmla="*/ 38100 w 76208"/>
              <a:gd name="csY12" fmla="*/ 19246 h 7642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6208" h="76429">
                <a:moveTo>
                  <a:pt x="45872" y="75644"/>
                </a:moveTo>
                <a:cubicBezTo>
                  <a:pt x="63942" y="71433"/>
                  <a:pt x="76594" y="55141"/>
                  <a:pt x="76200" y="36591"/>
                </a:cubicBezTo>
                <a:lnTo>
                  <a:pt x="76200" y="36591"/>
                </a:lnTo>
                <a:cubicBezTo>
                  <a:pt x="76448" y="24011"/>
                  <a:pt x="69894" y="12273"/>
                  <a:pt x="59055" y="5883"/>
                </a:cubicBezTo>
                <a:cubicBezTo>
                  <a:pt x="40991" y="-5423"/>
                  <a:pt x="17182" y="56"/>
                  <a:pt x="5876" y="18120"/>
                </a:cubicBezTo>
                <a:cubicBezTo>
                  <a:pt x="2094" y="24164"/>
                  <a:pt x="60" y="31138"/>
                  <a:pt x="0" y="38268"/>
                </a:cubicBezTo>
                <a:cubicBezTo>
                  <a:pt x="3" y="59346"/>
                  <a:pt x="17093" y="76432"/>
                  <a:pt x="38171" y="76430"/>
                </a:cubicBezTo>
                <a:cubicBezTo>
                  <a:pt x="40758" y="76430"/>
                  <a:pt x="43339" y="76166"/>
                  <a:pt x="45872" y="75644"/>
                </a:cubicBezTo>
                <a:close/>
                <a:moveTo>
                  <a:pt x="38100" y="19246"/>
                </a:moveTo>
                <a:cubicBezTo>
                  <a:pt x="48621" y="19246"/>
                  <a:pt x="57150" y="27775"/>
                  <a:pt x="57150" y="38296"/>
                </a:cubicBezTo>
                <a:cubicBezTo>
                  <a:pt x="57150" y="48818"/>
                  <a:pt x="48621" y="57346"/>
                  <a:pt x="38100" y="57346"/>
                </a:cubicBezTo>
                <a:cubicBezTo>
                  <a:pt x="27579" y="57346"/>
                  <a:pt x="19050" y="48818"/>
                  <a:pt x="19050" y="38296"/>
                </a:cubicBezTo>
                <a:cubicBezTo>
                  <a:pt x="19050" y="27775"/>
                  <a:pt x="27579" y="19246"/>
                  <a:pt x="38100" y="19246"/>
                </a:cubicBezTo>
                <a:close/>
              </a:path>
            </a:pathLst>
          </a:custGeom>
          <a:solidFill>
            <a:srgbClr val="CBD5E1"/>
          </a:solidFill>
          <a:ln w="9525" cap="flat">
            <a:noFill/>
            <a:prstDash val="solid"/>
            <a:miter/>
          </a:ln>
        </xdr:spPr>
      </xdr:sp>
      <xdr:sp macro="" textlink="">
        <xdr:nvSpPr>
          <xdr:cNvPr id="75" name="Freeform: Shape 74">
            <a:extLst>
              <a:ext uri="{FF2B5EF4-FFF2-40B4-BE49-F238E27FC236}">
                <a16:creationId xmlns:a16="http://schemas.microsoft.com/office/drawing/2014/main" id="{88A40BB4-CF5A-1EF3-211F-07DAB33B7EDA}"/>
              </a:ext>
            </a:extLst>
          </xdr:cNvPr>
          <xdr:cNvSpPr/>
        </xdr:nvSpPr>
        <xdr:spPr>
          <a:xfrm>
            <a:off x="1640625" y="2736000"/>
            <a:ext cx="724004" cy="266700"/>
          </a:xfrm>
          <a:custGeom>
            <a:avLst/>
            <a:gdLst>
              <a:gd name="csX0" fmla="*/ 695430 w 724004"/>
              <a:gd name="csY0" fmla="*/ 266700 h 266700"/>
              <a:gd name="csX1" fmla="*/ 724005 w 724004"/>
              <a:gd name="csY1" fmla="*/ 238125 h 266700"/>
              <a:gd name="csX2" fmla="*/ 724005 w 724004"/>
              <a:gd name="csY2" fmla="*/ 28575 h 266700"/>
              <a:gd name="csX3" fmla="*/ 695430 w 724004"/>
              <a:gd name="csY3" fmla="*/ 0 h 266700"/>
              <a:gd name="csX4" fmla="*/ 38100 w 724004"/>
              <a:gd name="csY4" fmla="*/ 0 h 266700"/>
              <a:gd name="csX5" fmla="*/ 0 w 724004"/>
              <a:gd name="csY5" fmla="*/ 38100 h 266700"/>
              <a:gd name="csX6" fmla="*/ 0 w 724004"/>
              <a:gd name="csY6" fmla="*/ 228600 h 266700"/>
              <a:gd name="csX7" fmla="*/ 38100 w 724004"/>
              <a:gd name="csY7" fmla="*/ 266700 h 266700"/>
              <a:gd name="csX8" fmla="*/ 19050 w 724004"/>
              <a:gd name="csY8" fmla="*/ 46006 h 266700"/>
              <a:gd name="csX9" fmla="*/ 46006 w 724004"/>
              <a:gd name="csY9" fmla="*/ 19050 h 266700"/>
              <a:gd name="csX10" fmla="*/ 687543 w 724004"/>
              <a:gd name="csY10" fmla="*/ 19050 h 266700"/>
              <a:gd name="csX11" fmla="*/ 704955 w 724004"/>
              <a:gd name="csY11" fmla="*/ 36462 h 266700"/>
              <a:gd name="csX12" fmla="*/ 704955 w 724004"/>
              <a:gd name="csY12" fmla="*/ 230257 h 266700"/>
              <a:gd name="csX13" fmla="*/ 687543 w 724004"/>
              <a:gd name="csY13" fmla="*/ 247650 h 266700"/>
              <a:gd name="csX14" fmla="*/ 46006 w 724004"/>
              <a:gd name="csY14" fmla="*/ 247650 h 266700"/>
              <a:gd name="csX15" fmla="*/ 19050 w 724004"/>
              <a:gd name="csY15" fmla="*/ 220732 h 2667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Lst>
            <a:rect l="l" t="t" r="r" b="b"/>
            <a:pathLst>
              <a:path w="724004" h="266700">
                <a:moveTo>
                  <a:pt x="695430" y="266700"/>
                </a:moveTo>
                <a:lnTo>
                  <a:pt x="724005" y="238125"/>
                </a:lnTo>
                <a:lnTo>
                  <a:pt x="724005" y="28575"/>
                </a:lnTo>
                <a:lnTo>
                  <a:pt x="695430" y="0"/>
                </a:lnTo>
                <a:lnTo>
                  <a:pt x="38100" y="0"/>
                </a:lnTo>
                <a:lnTo>
                  <a:pt x="0" y="38100"/>
                </a:lnTo>
                <a:lnTo>
                  <a:pt x="0" y="228600"/>
                </a:lnTo>
                <a:lnTo>
                  <a:pt x="38100" y="266700"/>
                </a:lnTo>
                <a:close/>
                <a:moveTo>
                  <a:pt x="19050" y="46006"/>
                </a:moveTo>
                <a:lnTo>
                  <a:pt x="46006" y="19050"/>
                </a:lnTo>
                <a:lnTo>
                  <a:pt x="687543" y="19050"/>
                </a:lnTo>
                <a:lnTo>
                  <a:pt x="704955" y="36462"/>
                </a:lnTo>
                <a:lnTo>
                  <a:pt x="704955" y="230257"/>
                </a:lnTo>
                <a:lnTo>
                  <a:pt x="687543" y="247650"/>
                </a:lnTo>
                <a:lnTo>
                  <a:pt x="46006" y="247650"/>
                </a:lnTo>
                <a:lnTo>
                  <a:pt x="19050" y="220732"/>
                </a:lnTo>
                <a:close/>
              </a:path>
            </a:pathLst>
          </a:custGeom>
          <a:solidFill>
            <a:srgbClr val="CBD5E1"/>
          </a:solidFill>
          <a:ln w="9525" cap="flat">
            <a:noFill/>
            <a:prstDash val="solid"/>
            <a:miter/>
          </a:ln>
        </xdr:spPr>
      </xdr:sp>
    </xdr:grpSp>
    <xdr:clientData/>
  </xdr:twoCellAnchor>
  <xdr:twoCellAnchor>
    <xdr:from>
      <xdr:col>8</xdr:col>
      <xdr:colOff>165735</xdr:colOff>
      <xdr:row>6</xdr:row>
      <xdr:rowOff>118396</xdr:rowOff>
    </xdr:from>
    <xdr:to>
      <xdr:col>8</xdr:col>
      <xdr:colOff>590551</xdr:colOff>
      <xdr:row>8</xdr:row>
      <xdr:rowOff>85726</xdr:rowOff>
    </xdr:to>
    <xdr:sp macro="" textlink="">
      <xdr:nvSpPr>
        <xdr:cNvPr id="57" name="Graphic 49" descr="Coins outline">
          <a:extLst>
            <a:ext uri="{FF2B5EF4-FFF2-40B4-BE49-F238E27FC236}">
              <a16:creationId xmlns:a16="http://schemas.microsoft.com/office/drawing/2014/main" id="{F5DA4E97-584A-5BF8-1CFE-69D3FFFA673F}"/>
            </a:ext>
          </a:extLst>
        </xdr:cNvPr>
        <xdr:cNvSpPr/>
      </xdr:nvSpPr>
      <xdr:spPr>
        <a:xfrm>
          <a:off x="5042535" y="1261396"/>
          <a:ext cx="424816" cy="348330"/>
        </a:xfrm>
        <a:custGeom>
          <a:avLst/>
          <a:gdLst>
            <a:gd name="csX0" fmla="*/ 723900 w 771525"/>
            <a:gd name="csY0" fmla="*/ 429578 h 657224"/>
            <a:gd name="csX1" fmla="*/ 723900 w 771525"/>
            <a:gd name="csY1" fmla="*/ 361950 h 657224"/>
            <a:gd name="csX2" fmla="*/ 561975 w 771525"/>
            <a:gd name="csY2" fmla="*/ 273368 h 657224"/>
            <a:gd name="csX3" fmla="*/ 561975 w 771525"/>
            <a:gd name="csY3" fmla="*/ 219075 h 657224"/>
            <a:gd name="csX4" fmla="*/ 514350 w 771525"/>
            <a:gd name="csY4" fmla="*/ 162878 h 657224"/>
            <a:gd name="csX5" fmla="*/ 514350 w 771525"/>
            <a:gd name="csY5" fmla="*/ 95250 h 657224"/>
            <a:gd name="csX6" fmla="*/ 257175 w 771525"/>
            <a:gd name="csY6" fmla="*/ 0 h 657224"/>
            <a:gd name="csX7" fmla="*/ 0 w 771525"/>
            <a:gd name="csY7" fmla="*/ 95250 h 657224"/>
            <a:gd name="csX8" fmla="*/ 0 w 771525"/>
            <a:gd name="csY8" fmla="*/ 171450 h 657224"/>
            <a:gd name="csX9" fmla="*/ 47625 w 771525"/>
            <a:gd name="csY9" fmla="*/ 228600 h 657224"/>
            <a:gd name="csX10" fmla="*/ 47625 w 771525"/>
            <a:gd name="csY10" fmla="*/ 295275 h 657224"/>
            <a:gd name="csX11" fmla="*/ 47625 w 771525"/>
            <a:gd name="csY11" fmla="*/ 296228 h 657224"/>
            <a:gd name="csX12" fmla="*/ 0 w 771525"/>
            <a:gd name="csY12" fmla="*/ 352425 h 657224"/>
            <a:gd name="csX13" fmla="*/ 0 w 771525"/>
            <a:gd name="csY13" fmla="*/ 428625 h 657224"/>
            <a:gd name="csX14" fmla="*/ 257175 w 771525"/>
            <a:gd name="csY14" fmla="*/ 523875 h 657224"/>
            <a:gd name="csX15" fmla="*/ 257175 w 771525"/>
            <a:gd name="csY15" fmla="*/ 561975 h 657224"/>
            <a:gd name="csX16" fmla="*/ 514350 w 771525"/>
            <a:gd name="csY16" fmla="*/ 657225 h 657224"/>
            <a:gd name="csX17" fmla="*/ 771525 w 771525"/>
            <a:gd name="csY17" fmla="*/ 561975 h 657224"/>
            <a:gd name="csX18" fmla="*/ 771525 w 771525"/>
            <a:gd name="csY18" fmla="*/ 485775 h 657224"/>
            <a:gd name="csX19" fmla="*/ 723900 w 771525"/>
            <a:gd name="csY19" fmla="*/ 429578 h 657224"/>
            <a:gd name="csX20" fmla="*/ 752475 w 771525"/>
            <a:gd name="csY20" fmla="*/ 486727 h 657224"/>
            <a:gd name="csX21" fmla="*/ 514350 w 771525"/>
            <a:gd name="csY21" fmla="*/ 562927 h 657224"/>
            <a:gd name="csX22" fmla="*/ 287655 w 771525"/>
            <a:gd name="csY22" fmla="*/ 508635 h 657224"/>
            <a:gd name="csX23" fmla="*/ 287655 w 771525"/>
            <a:gd name="csY23" fmla="*/ 508635 h 657224"/>
            <a:gd name="csX24" fmla="*/ 465773 w 771525"/>
            <a:gd name="csY24" fmla="*/ 534352 h 657224"/>
            <a:gd name="csX25" fmla="*/ 721043 w 771525"/>
            <a:gd name="csY25" fmla="*/ 451485 h 657224"/>
            <a:gd name="csX26" fmla="*/ 752475 w 771525"/>
            <a:gd name="csY26" fmla="*/ 486727 h 657224"/>
            <a:gd name="csX27" fmla="*/ 590550 w 771525"/>
            <a:gd name="csY27" fmla="*/ 577215 h 657224"/>
            <a:gd name="csX28" fmla="*/ 590550 w 771525"/>
            <a:gd name="csY28" fmla="*/ 634365 h 657224"/>
            <a:gd name="csX29" fmla="*/ 552450 w 771525"/>
            <a:gd name="csY29" fmla="*/ 637223 h 657224"/>
            <a:gd name="csX30" fmla="*/ 552450 w 771525"/>
            <a:gd name="csY30" fmla="*/ 580073 h 657224"/>
            <a:gd name="csX31" fmla="*/ 590550 w 771525"/>
            <a:gd name="csY31" fmla="*/ 577215 h 657224"/>
            <a:gd name="csX32" fmla="*/ 609600 w 771525"/>
            <a:gd name="csY32" fmla="*/ 575310 h 657224"/>
            <a:gd name="csX33" fmla="*/ 647700 w 771525"/>
            <a:gd name="csY33" fmla="*/ 568643 h 657224"/>
            <a:gd name="csX34" fmla="*/ 647700 w 771525"/>
            <a:gd name="csY34" fmla="*/ 624840 h 657224"/>
            <a:gd name="csX35" fmla="*/ 609600 w 771525"/>
            <a:gd name="csY35" fmla="*/ 631508 h 657224"/>
            <a:gd name="csX36" fmla="*/ 609600 w 771525"/>
            <a:gd name="csY36" fmla="*/ 575310 h 657224"/>
            <a:gd name="csX37" fmla="*/ 666750 w 771525"/>
            <a:gd name="csY37" fmla="*/ 563880 h 657224"/>
            <a:gd name="csX38" fmla="*/ 704850 w 771525"/>
            <a:gd name="csY38" fmla="*/ 551498 h 657224"/>
            <a:gd name="csX39" fmla="*/ 704850 w 771525"/>
            <a:gd name="csY39" fmla="*/ 606743 h 657224"/>
            <a:gd name="csX40" fmla="*/ 666750 w 771525"/>
            <a:gd name="csY40" fmla="*/ 620077 h 657224"/>
            <a:gd name="csX41" fmla="*/ 666750 w 771525"/>
            <a:gd name="csY41" fmla="*/ 563880 h 657224"/>
            <a:gd name="csX42" fmla="*/ 361950 w 771525"/>
            <a:gd name="csY42" fmla="*/ 620077 h 657224"/>
            <a:gd name="csX43" fmla="*/ 323850 w 771525"/>
            <a:gd name="csY43" fmla="*/ 606743 h 657224"/>
            <a:gd name="csX44" fmla="*/ 323850 w 771525"/>
            <a:gd name="csY44" fmla="*/ 551498 h 657224"/>
            <a:gd name="csX45" fmla="*/ 361950 w 771525"/>
            <a:gd name="csY45" fmla="*/ 563880 h 657224"/>
            <a:gd name="csX46" fmla="*/ 361950 w 771525"/>
            <a:gd name="csY46" fmla="*/ 620077 h 657224"/>
            <a:gd name="csX47" fmla="*/ 381000 w 771525"/>
            <a:gd name="csY47" fmla="*/ 568643 h 657224"/>
            <a:gd name="csX48" fmla="*/ 419100 w 771525"/>
            <a:gd name="csY48" fmla="*/ 575310 h 657224"/>
            <a:gd name="csX49" fmla="*/ 419100 w 771525"/>
            <a:gd name="csY49" fmla="*/ 632460 h 657224"/>
            <a:gd name="csX50" fmla="*/ 381000 w 771525"/>
            <a:gd name="csY50" fmla="*/ 625793 h 657224"/>
            <a:gd name="csX51" fmla="*/ 381000 w 771525"/>
            <a:gd name="csY51" fmla="*/ 568643 h 657224"/>
            <a:gd name="csX52" fmla="*/ 438150 w 771525"/>
            <a:gd name="csY52" fmla="*/ 577215 h 657224"/>
            <a:gd name="csX53" fmla="*/ 476250 w 771525"/>
            <a:gd name="csY53" fmla="*/ 580073 h 657224"/>
            <a:gd name="csX54" fmla="*/ 476250 w 771525"/>
            <a:gd name="csY54" fmla="*/ 637223 h 657224"/>
            <a:gd name="csX55" fmla="*/ 438150 w 771525"/>
            <a:gd name="csY55" fmla="*/ 634365 h 657224"/>
            <a:gd name="csX56" fmla="*/ 438150 w 771525"/>
            <a:gd name="csY56" fmla="*/ 577215 h 657224"/>
            <a:gd name="csX57" fmla="*/ 209550 w 771525"/>
            <a:gd name="csY57" fmla="*/ 362903 h 657224"/>
            <a:gd name="csX58" fmla="*/ 209550 w 771525"/>
            <a:gd name="csY58" fmla="*/ 365760 h 657224"/>
            <a:gd name="csX59" fmla="*/ 171450 w 771525"/>
            <a:gd name="csY59" fmla="*/ 359093 h 657224"/>
            <a:gd name="csX60" fmla="*/ 171450 w 771525"/>
            <a:gd name="csY60" fmla="*/ 302895 h 657224"/>
            <a:gd name="csX61" fmla="*/ 209550 w 771525"/>
            <a:gd name="csY61" fmla="*/ 309562 h 657224"/>
            <a:gd name="csX62" fmla="*/ 209550 w 771525"/>
            <a:gd name="csY62" fmla="*/ 362903 h 657224"/>
            <a:gd name="csX63" fmla="*/ 228600 w 771525"/>
            <a:gd name="csY63" fmla="*/ 439103 h 657224"/>
            <a:gd name="csX64" fmla="*/ 228600 w 771525"/>
            <a:gd name="csY64" fmla="*/ 401003 h 657224"/>
            <a:gd name="csX65" fmla="*/ 257175 w 771525"/>
            <a:gd name="csY65" fmla="*/ 420053 h 657224"/>
            <a:gd name="csX66" fmla="*/ 257175 w 771525"/>
            <a:gd name="csY66" fmla="*/ 474345 h 657224"/>
            <a:gd name="csX67" fmla="*/ 228600 w 771525"/>
            <a:gd name="csY67" fmla="*/ 439103 h 657224"/>
            <a:gd name="csX68" fmla="*/ 228600 w 771525"/>
            <a:gd name="csY68" fmla="*/ 439103 h 657224"/>
            <a:gd name="csX69" fmla="*/ 704850 w 771525"/>
            <a:gd name="csY69" fmla="*/ 439103 h 657224"/>
            <a:gd name="csX70" fmla="*/ 676275 w 771525"/>
            <a:gd name="csY70" fmla="*/ 473393 h 657224"/>
            <a:gd name="csX71" fmla="*/ 676275 w 771525"/>
            <a:gd name="csY71" fmla="*/ 419100 h 657224"/>
            <a:gd name="csX72" fmla="*/ 704850 w 771525"/>
            <a:gd name="csY72" fmla="*/ 400050 h 657224"/>
            <a:gd name="csX73" fmla="*/ 704850 w 771525"/>
            <a:gd name="csY73" fmla="*/ 439103 h 657224"/>
            <a:gd name="csX74" fmla="*/ 657225 w 771525"/>
            <a:gd name="csY74" fmla="*/ 482918 h 657224"/>
            <a:gd name="csX75" fmla="*/ 619125 w 771525"/>
            <a:gd name="csY75" fmla="*/ 496252 h 657224"/>
            <a:gd name="csX76" fmla="*/ 619125 w 771525"/>
            <a:gd name="csY76" fmla="*/ 440055 h 657224"/>
            <a:gd name="csX77" fmla="*/ 657225 w 771525"/>
            <a:gd name="csY77" fmla="*/ 427673 h 657224"/>
            <a:gd name="csX78" fmla="*/ 657225 w 771525"/>
            <a:gd name="csY78" fmla="*/ 482918 h 657224"/>
            <a:gd name="csX79" fmla="*/ 600075 w 771525"/>
            <a:gd name="csY79" fmla="*/ 501015 h 657224"/>
            <a:gd name="csX80" fmla="*/ 561975 w 771525"/>
            <a:gd name="csY80" fmla="*/ 507683 h 657224"/>
            <a:gd name="csX81" fmla="*/ 561975 w 771525"/>
            <a:gd name="csY81" fmla="*/ 450533 h 657224"/>
            <a:gd name="csX82" fmla="*/ 600075 w 771525"/>
            <a:gd name="csY82" fmla="*/ 443865 h 657224"/>
            <a:gd name="csX83" fmla="*/ 600075 w 771525"/>
            <a:gd name="csY83" fmla="*/ 501015 h 657224"/>
            <a:gd name="csX84" fmla="*/ 542925 w 771525"/>
            <a:gd name="csY84" fmla="*/ 510540 h 657224"/>
            <a:gd name="csX85" fmla="*/ 504825 w 771525"/>
            <a:gd name="csY85" fmla="*/ 513398 h 657224"/>
            <a:gd name="csX86" fmla="*/ 504825 w 771525"/>
            <a:gd name="csY86" fmla="*/ 456248 h 657224"/>
            <a:gd name="csX87" fmla="*/ 542925 w 771525"/>
            <a:gd name="csY87" fmla="*/ 453390 h 657224"/>
            <a:gd name="csX88" fmla="*/ 542925 w 771525"/>
            <a:gd name="csY88" fmla="*/ 510540 h 657224"/>
            <a:gd name="csX89" fmla="*/ 485775 w 771525"/>
            <a:gd name="csY89" fmla="*/ 514350 h 657224"/>
            <a:gd name="csX90" fmla="*/ 466725 w 771525"/>
            <a:gd name="csY90" fmla="*/ 514350 h 657224"/>
            <a:gd name="csX91" fmla="*/ 447675 w 771525"/>
            <a:gd name="csY91" fmla="*/ 514350 h 657224"/>
            <a:gd name="csX92" fmla="*/ 447675 w 771525"/>
            <a:gd name="csY92" fmla="*/ 457200 h 657224"/>
            <a:gd name="csX93" fmla="*/ 466725 w 771525"/>
            <a:gd name="csY93" fmla="*/ 457200 h 657224"/>
            <a:gd name="csX94" fmla="*/ 485775 w 771525"/>
            <a:gd name="csY94" fmla="*/ 457200 h 657224"/>
            <a:gd name="csX95" fmla="*/ 485775 w 771525"/>
            <a:gd name="csY95" fmla="*/ 514350 h 657224"/>
            <a:gd name="csX96" fmla="*/ 428625 w 771525"/>
            <a:gd name="csY96" fmla="*/ 514350 h 657224"/>
            <a:gd name="csX97" fmla="*/ 390525 w 771525"/>
            <a:gd name="csY97" fmla="*/ 511493 h 657224"/>
            <a:gd name="csX98" fmla="*/ 390525 w 771525"/>
            <a:gd name="csY98" fmla="*/ 454343 h 657224"/>
            <a:gd name="csX99" fmla="*/ 428625 w 771525"/>
            <a:gd name="csY99" fmla="*/ 457200 h 657224"/>
            <a:gd name="csX100" fmla="*/ 428625 w 771525"/>
            <a:gd name="csY100" fmla="*/ 514350 h 657224"/>
            <a:gd name="csX101" fmla="*/ 371475 w 771525"/>
            <a:gd name="csY101" fmla="*/ 508635 h 657224"/>
            <a:gd name="csX102" fmla="*/ 333375 w 771525"/>
            <a:gd name="csY102" fmla="*/ 501968 h 657224"/>
            <a:gd name="csX103" fmla="*/ 333375 w 771525"/>
            <a:gd name="csY103" fmla="*/ 445770 h 657224"/>
            <a:gd name="csX104" fmla="*/ 371475 w 771525"/>
            <a:gd name="csY104" fmla="*/ 452437 h 657224"/>
            <a:gd name="csX105" fmla="*/ 371475 w 771525"/>
            <a:gd name="csY105" fmla="*/ 508635 h 657224"/>
            <a:gd name="csX106" fmla="*/ 314325 w 771525"/>
            <a:gd name="csY106" fmla="*/ 496252 h 657224"/>
            <a:gd name="csX107" fmla="*/ 276225 w 771525"/>
            <a:gd name="csY107" fmla="*/ 482918 h 657224"/>
            <a:gd name="csX108" fmla="*/ 276225 w 771525"/>
            <a:gd name="csY108" fmla="*/ 427673 h 657224"/>
            <a:gd name="csX109" fmla="*/ 314325 w 771525"/>
            <a:gd name="csY109" fmla="*/ 440055 h 657224"/>
            <a:gd name="csX110" fmla="*/ 314325 w 771525"/>
            <a:gd name="csY110" fmla="*/ 496252 h 657224"/>
            <a:gd name="csX111" fmla="*/ 704850 w 771525"/>
            <a:gd name="csY111" fmla="*/ 362903 h 657224"/>
            <a:gd name="csX112" fmla="*/ 466725 w 771525"/>
            <a:gd name="csY112" fmla="*/ 439103 h 657224"/>
            <a:gd name="csX113" fmla="*/ 228600 w 771525"/>
            <a:gd name="csY113" fmla="*/ 362903 h 657224"/>
            <a:gd name="csX114" fmla="*/ 466725 w 771525"/>
            <a:gd name="csY114" fmla="*/ 286703 h 657224"/>
            <a:gd name="csX115" fmla="*/ 704850 w 771525"/>
            <a:gd name="csY115" fmla="*/ 362903 h 657224"/>
            <a:gd name="csX116" fmla="*/ 228600 w 771525"/>
            <a:gd name="csY116" fmla="*/ 324803 h 657224"/>
            <a:gd name="csX117" fmla="*/ 228600 w 771525"/>
            <a:gd name="csY117" fmla="*/ 310515 h 657224"/>
            <a:gd name="csX118" fmla="*/ 245745 w 771525"/>
            <a:gd name="csY118" fmla="*/ 312420 h 657224"/>
            <a:gd name="csX119" fmla="*/ 228600 w 771525"/>
            <a:gd name="csY119" fmla="*/ 324803 h 657224"/>
            <a:gd name="csX120" fmla="*/ 526733 w 771525"/>
            <a:gd name="csY120" fmla="*/ 269558 h 657224"/>
            <a:gd name="csX121" fmla="*/ 543878 w 771525"/>
            <a:gd name="csY121" fmla="*/ 257175 h 657224"/>
            <a:gd name="csX122" fmla="*/ 543878 w 771525"/>
            <a:gd name="csY122" fmla="*/ 271462 h 657224"/>
            <a:gd name="csX123" fmla="*/ 526733 w 771525"/>
            <a:gd name="csY123" fmla="*/ 269558 h 657224"/>
            <a:gd name="csX124" fmla="*/ 512445 w 771525"/>
            <a:gd name="csY124" fmla="*/ 183833 h 657224"/>
            <a:gd name="csX125" fmla="*/ 542925 w 771525"/>
            <a:gd name="csY125" fmla="*/ 219075 h 657224"/>
            <a:gd name="csX126" fmla="*/ 486728 w 771525"/>
            <a:gd name="csY126" fmla="*/ 266700 h 657224"/>
            <a:gd name="csX127" fmla="*/ 466725 w 771525"/>
            <a:gd name="csY127" fmla="*/ 266700 h 657224"/>
            <a:gd name="csX128" fmla="*/ 280988 w 771525"/>
            <a:gd name="csY128" fmla="*/ 295275 h 657224"/>
            <a:gd name="csX129" fmla="*/ 79058 w 771525"/>
            <a:gd name="csY129" fmla="*/ 241935 h 657224"/>
            <a:gd name="csX130" fmla="*/ 79058 w 771525"/>
            <a:gd name="csY130" fmla="*/ 241935 h 657224"/>
            <a:gd name="csX131" fmla="*/ 257175 w 771525"/>
            <a:gd name="csY131" fmla="*/ 267653 h 657224"/>
            <a:gd name="csX132" fmla="*/ 512445 w 771525"/>
            <a:gd name="csY132" fmla="*/ 183833 h 657224"/>
            <a:gd name="csX133" fmla="*/ 152400 w 771525"/>
            <a:gd name="csY133" fmla="*/ 297180 h 657224"/>
            <a:gd name="csX134" fmla="*/ 152400 w 771525"/>
            <a:gd name="csY134" fmla="*/ 353378 h 657224"/>
            <a:gd name="csX135" fmla="*/ 114300 w 771525"/>
            <a:gd name="csY135" fmla="*/ 340043 h 657224"/>
            <a:gd name="csX136" fmla="*/ 114300 w 771525"/>
            <a:gd name="csY136" fmla="*/ 284798 h 657224"/>
            <a:gd name="csX137" fmla="*/ 152400 w 771525"/>
            <a:gd name="csY137" fmla="*/ 297180 h 657224"/>
            <a:gd name="csX138" fmla="*/ 95250 w 771525"/>
            <a:gd name="csY138" fmla="*/ 276225 h 657224"/>
            <a:gd name="csX139" fmla="*/ 95250 w 771525"/>
            <a:gd name="csY139" fmla="*/ 330518 h 657224"/>
            <a:gd name="csX140" fmla="*/ 66675 w 771525"/>
            <a:gd name="csY140" fmla="*/ 296228 h 657224"/>
            <a:gd name="csX141" fmla="*/ 66675 w 771525"/>
            <a:gd name="csY141" fmla="*/ 258128 h 657224"/>
            <a:gd name="csX142" fmla="*/ 95250 w 771525"/>
            <a:gd name="csY142" fmla="*/ 276225 h 657224"/>
            <a:gd name="csX143" fmla="*/ 66675 w 771525"/>
            <a:gd name="csY143" fmla="*/ 216217 h 657224"/>
            <a:gd name="csX144" fmla="*/ 66675 w 771525"/>
            <a:gd name="csY144" fmla="*/ 160973 h 657224"/>
            <a:gd name="csX145" fmla="*/ 104775 w 771525"/>
            <a:gd name="csY145" fmla="*/ 173355 h 657224"/>
            <a:gd name="csX146" fmla="*/ 104775 w 771525"/>
            <a:gd name="csY146" fmla="*/ 229553 h 657224"/>
            <a:gd name="csX147" fmla="*/ 66675 w 771525"/>
            <a:gd name="csY147" fmla="*/ 216217 h 657224"/>
            <a:gd name="csX148" fmla="*/ 123825 w 771525"/>
            <a:gd name="csY148" fmla="*/ 234315 h 657224"/>
            <a:gd name="csX149" fmla="*/ 123825 w 771525"/>
            <a:gd name="csY149" fmla="*/ 178117 h 657224"/>
            <a:gd name="csX150" fmla="*/ 161925 w 771525"/>
            <a:gd name="csY150" fmla="*/ 184785 h 657224"/>
            <a:gd name="csX151" fmla="*/ 161925 w 771525"/>
            <a:gd name="csY151" fmla="*/ 241935 h 657224"/>
            <a:gd name="csX152" fmla="*/ 123825 w 771525"/>
            <a:gd name="csY152" fmla="*/ 234315 h 657224"/>
            <a:gd name="csX153" fmla="*/ 180975 w 771525"/>
            <a:gd name="csY153" fmla="*/ 243840 h 657224"/>
            <a:gd name="csX154" fmla="*/ 180975 w 771525"/>
            <a:gd name="csY154" fmla="*/ 186690 h 657224"/>
            <a:gd name="csX155" fmla="*/ 219075 w 771525"/>
            <a:gd name="csY155" fmla="*/ 189548 h 657224"/>
            <a:gd name="csX156" fmla="*/ 219075 w 771525"/>
            <a:gd name="csY156" fmla="*/ 246698 h 657224"/>
            <a:gd name="csX157" fmla="*/ 180975 w 771525"/>
            <a:gd name="csY157" fmla="*/ 243840 h 657224"/>
            <a:gd name="csX158" fmla="*/ 238125 w 771525"/>
            <a:gd name="csY158" fmla="*/ 247650 h 657224"/>
            <a:gd name="csX159" fmla="*/ 238125 w 771525"/>
            <a:gd name="csY159" fmla="*/ 190500 h 657224"/>
            <a:gd name="csX160" fmla="*/ 257175 w 771525"/>
            <a:gd name="csY160" fmla="*/ 190500 h 657224"/>
            <a:gd name="csX161" fmla="*/ 276225 w 771525"/>
            <a:gd name="csY161" fmla="*/ 190500 h 657224"/>
            <a:gd name="csX162" fmla="*/ 276225 w 771525"/>
            <a:gd name="csY162" fmla="*/ 247650 h 657224"/>
            <a:gd name="csX163" fmla="*/ 257175 w 771525"/>
            <a:gd name="csY163" fmla="*/ 247650 h 657224"/>
            <a:gd name="csX164" fmla="*/ 238125 w 771525"/>
            <a:gd name="csY164" fmla="*/ 247650 h 657224"/>
            <a:gd name="csX165" fmla="*/ 295275 w 771525"/>
            <a:gd name="csY165" fmla="*/ 247650 h 657224"/>
            <a:gd name="csX166" fmla="*/ 295275 w 771525"/>
            <a:gd name="csY166" fmla="*/ 190500 h 657224"/>
            <a:gd name="csX167" fmla="*/ 333375 w 771525"/>
            <a:gd name="csY167" fmla="*/ 187642 h 657224"/>
            <a:gd name="csX168" fmla="*/ 333375 w 771525"/>
            <a:gd name="csY168" fmla="*/ 244792 h 657224"/>
            <a:gd name="csX169" fmla="*/ 295275 w 771525"/>
            <a:gd name="csY169" fmla="*/ 247650 h 657224"/>
            <a:gd name="csX170" fmla="*/ 352425 w 771525"/>
            <a:gd name="csY170" fmla="*/ 241935 h 657224"/>
            <a:gd name="csX171" fmla="*/ 352425 w 771525"/>
            <a:gd name="csY171" fmla="*/ 184785 h 657224"/>
            <a:gd name="csX172" fmla="*/ 390525 w 771525"/>
            <a:gd name="csY172" fmla="*/ 178117 h 657224"/>
            <a:gd name="csX173" fmla="*/ 390525 w 771525"/>
            <a:gd name="csY173" fmla="*/ 234315 h 657224"/>
            <a:gd name="csX174" fmla="*/ 352425 w 771525"/>
            <a:gd name="csY174" fmla="*/ 241935 h 657224"/>
            <a:gd name="csX175" fmla="*/ 409575 w 771525"/>
            <a:gd name="csY175" fmla="*/ 229553 h 657224"/>
            <a:gd name="csX176" fmla="*/ 409575 w 771525"/>
            <a:gd name="csY176" fmla="*/ 173355 h 657224"/>
            <a:gd name="csX177" fmla="*/ 447675 w 771525"/>
            <a:gd name="csY177" fmla="*/ 160973 h 657224"/>
            <a:gd name="csX178" fmla="*/ 447675 w 771525"/>
            <a:gd name="csY178" fmla="*/ 216217 h 657224"/>
            <a:gd name="csX179" fmla="*/ 409575 w 771525"/>
            <a:gd name="csY179" fmla="*/ 229553 h 657224"/>
            <a:gd name="csX180" fmla="*/ 466725 w 771525"/>
            <a:gd name="csY180" fmla="*/ 206692 h 657224"/>
            <a:gd name="csX181" fmla="*/ 466725 w 771525"/>
            <a:gd name="csY181" fmla="*/ 152400 h 657224"/>
            <a:gd name="csX182" fmla="*/ 495300 w 771525"/>
            <a:gd name="csY182" fmla="*/ 133350 h 657224"/>
            <a:gd name="csX183" fmla="*/ 495300 w 771525"/>
            <a:gd name="csY183" fmla="*/ 171450 h 657224"/>
            <a:gd name="csX184" fmla="*/ 466725 w 771525"/>
            <a:gd name="csY184" fmla="*/ 206692 h 657224"/>
            <a:gd name="csX185" fmla="*/ 47625 w 771525"/>
            <a:gd name="csY185" fmla="*/ 206692 h 657224"/>
            <a:gd name="csX186" fmla="*/ 19050 w 771525"/>
            <a:gd name="csY186" fmla="*/ 172403 h 657224"/>
            <a:gd name="csX187" fmla="*/ 19050 w 771525"/>
            <a:gd name="csY187" fmla="*/ 134303 h 657224"/>
            <a:gd name="csX188" fmla="*/ 47625 w 771525"/>
            <a:gd name="csY188" fmla="*/ 153353 h 657224"/>
            <a:gd name="csX189" fmla="*/ 47625 w 771525"/>
            <a:gd name="csY189" fmla="*/ 206692 h 657224"/>
            <a:gd name="csX190" fmla="*/ 19050 w 771525"/>
            <a:gd name="csY190" fmla="*/ 96203 h 657224"/>
            <a:gd name="csX191" fmla="*/ 257175 w 771525"/>
            <a:gd name="csY191" fmla="*/ 20002 h 657224"/>
            <a:gd name="csX192" fmla="*/ 495300 w 771525"/>
            <a:gd name="csY192" fmla="*/ 96203 h 657224"/>
            <a:gd name="csX193" fmla="*/ 257175 w 771525"/>
            <a:gd name="csY193" fmla="*/ 172403 h 657224"/>
            <a:gd name="csX194" fmla="*/ 19050 w 771525"/>
            <a:gd name="csY194" fmla="*/ 96203 h 657224"/>
            <a:gd name="csX195" fmla="*/ 52388 w 771525"/>
            <a:gd name="csY195" fmla="*/ 315278 h 657224"/>
            <a:gd name="csX196" fmla="*/ 209550 w 771525"/>
            <a:gd name="csY196" fmla="*/ 383858 h 657224"/>
            <a:gd name="csX197" fmla="*/ 209550 w 771525"/>
            <a:gd name="csY197" fmla="*/ 426720 h 657224"/>
            <a:gd name="csX198" fmla="*/ 19050 w 771525"/>
            <a:gd name="csY198" fmla="*/ 352425 h 657224"/>
            <a:gd name="csX199" fmla="*/ 52388 w 771525"/>
            <a:gd name="csY199" fmla="*/ 315278 h 657224"/>
            <a:gd name="csX200" fmla="*/ 47625 w 771525"/>
            <a:gd name="csY200" fmla="*/ 463868 h 657224"/>
            <a:gd name="csX201" fmla="*/ 19050 w 771525"/>
            <a:gd name="csY201" fmla="*/ 429578 h 657224"/>
            <a:gd name="csX202" fmla="*/ 19050 w 771525"/>
            <a:gd name="csY202" fmla="*/ 391478 h 657224"/>
            <a:gd name="csX203" fmla="*/ 47625 w 771525"/>
            <a:gd name="csY203" fmla="*/ 410528 h 657224"/>
            <a:gd name="csX204" fmla="*/ 47625 w 771525"/>
            <a:gd name="csY204" fmla="*/ 463868 h 657224"/>
            <a:gd name="csX205" fmla="*/ 104775 w 771525"/>
            <a:gd name="csY205" fmla="*/ 486727 h 657224"/>
            <a:gd name="csX206" fmla="*/ 66675 w 771525"/>
            <a:gd name="csY206" fmla="*/ 473393 h 657224"/>
            <a:gd name="csX207" fmla="*/ 66675 w 771525"/>
            <a:gd name="csY207" fmla="*/ 418148 h 657224"/>
            <a:gd name="csX208" fmla="*/ 104775 w 771525"/>
            <a:gd name="csY208" fmla="*/ 430530 h 657224"/>
            <a:gd name="csX209" fmla="*/ 104775 w 771525"/>
            <a:gd name="csY209" fmla="*/ 486727 h 657224"/>
            <a:gd name="csX210" fmla="*/ 161925 w 771525"/>
            <a:gd name="csY210" fmla="*/ 499110 h 657224"/>
            <a:gd name="csX211" fmla="*/ 123825 w 771525"/>
            <a:gd name="csY211" fmla="*/ 492443 h 657224"/>
            <a:gd name="csX212" fmla="*/ 123825 w 771525"/>
            <a:gd name="csY212" fmla="*/ 436245 h 657224"/>
            <a:gd name="csX213" fmla="*/ 161925 w 771525"/>
            <a:gd name="csY213" fmla="*/ 442912 h 657224"/>
            <a:gd name="csX214" fmla="*/ 161925 w 771525"/>
            <a:gd name="csY214" fmla="*/ 499110 h 657224"/>
            <a:gd name="csX215" fmla="*/ 180975 w 771525"/>
            <a:gd name="csY215" fmla="*/ 443865 h 657224"/>
            <a:gd name="csX216" fmla="*/ 210503 w 771525"/>
            <a:gd name="csY216" fmla="*/ 446723 h 657224"/>
            <a:gd name="csX217" fmla="*/ 219075 w 771525"/>
            <a:gd name="csY217" fmla="*/ 466725 h 657224"/>
            <a:gd name="csX218" fmla="*/ 219075 w 771525"/>
            <a:gd name="csY218" fmla="*/ 504825 h 657224"/>
            <a:gd name="csX219" fmla="*/ 180975 w 771525"/>
            <a:gd name="csY219" fmla="*/ 501968 h 657224"/>
            <a:gd name="csX220" fmla="*/ 180975 w 771525"/>
            <a:gd name="csY220" fmla="*/ 443865 h 657224"/>
            <a:gd name="csX221" fmla="*/ 238125 w 771525"/>
            <a:gd name="csY221" fmla="*/ 483870 h 657224"/>
            <a:gd name="csX222" fmla="*/ 257175 w 771525"/>
            <a:gd name="csY222" fmla="*/ 495300 h 657224"/>
            <a:gd name="csX223" fmla="*/ 257175 w 771525"/>
            <a:gd name="csY223" fmla="*/ 504825 h 657224"/>
            <a:gd name="csX224" fmla="*/ 238125 w 771525"/>
            <a:gd name="csY224" fmla="*/ 504825 h 657224"/>
            <a:gd name="csX225" fmla="*/ 238125 w 771525"/>
            <a:gd name="csY225" fmla="*/ 483870 h 657224"/>
            <a:gd name="csX226" fmla="*/ 276225 w 771525"/>
            <a:gd name="csY226" fmla="*/ 562927 h 657224"/>
            <a:gd name="csX227" fmla="*/ 276225 w 771525"/>
            <a:gd name="csY227" fmla="*/ 524827 h 657224"/>
            <a:gd name="csX228" fmla="*/ 304800 w 771525"/>
            <a:gd name="csY228" fmla="*/ 543877 h 657224"/>
            <a:gd name="csX229" fmla="*/ 304800 w 771525"/>
            <a:gd name="csY229" fmla="*/ 598170 h 657224"/>
            <a:gd name="csX230" fmla="*/ 276225 w 771525"/>
            <a:gd name="csY230" fmla="*/ 562927 h 657224"/>
            <a:gd name="csX231" fmla="*/ 276225 w 771525"/>
            <a:gd name="csY231" fmla="*/ 562927 h 657224"/>
            <a:gd name="csX232" fmla="*/ 495300 w 771525"/>
            <a:gd name="csY232" fmla="*/ 581025 h 657224"/>
            <a:gd name="csX233" fmla="*/ 514350 w 771525"/>
            <a:gd name="csY233" fmla="*/ 581025 h 657224"/>
            <a:gd name="csX234" fmla="*/ 533400 w 771525"/>
            <a:gd name="csY234" fmla="*/ 581025 h 657224"/>
            <a:gd name="csX235" fmla="*/ 533400 w 771525"/>
            <a:gd name="csY235" fmla="*/ 638175 h 657224"/>
            <a:gd name="csX236" fmla="*/ 514350 w 771525"/>
            <a:gd name="csY236" fmla="*/ 638175 h 657224"/>
            <a:gd name="csX237" fmla="*/ 495300 w 771525"/>
            <a:gd name="csY237" fmla="*/ 638175 h 657224"/>
            <a:gd name="csX238" fmla="*/ 495300 w 771525"/>
            <a:gd name="csY238" fmla="*/ 581025 h 657224"/>
            <a:gd name="csX239" fmla="*/ 723900 w 771525"/>
            <a:gd name="csY239" fmla="*/ 542925 h 657224"/>
            <a:gd name="csX240" fmla="*/ 752475 w 771525"/>
            <a:gd name="csY240" fmla="*/ 523875 h 657224"/>
            <a:gd name="csX241" fmla="*/ 752475 w 771525"/>
            <a:gd name="csY241" fmla="*/ 561975 h 657224"/>
            <a:gd name="csX242" fmla="*/ 723900 w 771525"/>
            <a:gd name="csY242" fmla="*/ 596265 h 657224"/>
            <a:gd name="csX243" fmla="*/ 723900 w 771525"/>
            <a:gd name="csY243" fmla="*/ 542925 h 65722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 ang="0">
              <a:pos x="csX87" y="csY87"/>
            </a:cxn>
            <a:cxn ang="0">
              <a:pos x="csX88" y="csY88"/>
            </a:cxn>
            <a:cxn ang="0">
              <a:pos x="csX89" y="csY89"/>
            </a:cxn>
            <a:cxn ang="0">
              <a:pos x="csX90" y="csY90"/>
            </a:cxn>
            <a:cxn ang="0">
              <a:pos x="csX91" y="csY91"/>
            </a:cxn>
            <a:cxn ang="0">
              <a:pos x="csX92" y="csY92"/>
            </a:cxn>
            <a:cxn ang="0">
              <a:pos x="csX93" y="csY93"/>
            </a:cxn>
            <a:cxn ang="0">
              <a:pos x="csX94" y="csY94"/>
            </a:cxn>
            <a:cxn ang="0">
              <a:pos x="csX95" y="csY95"/>
            </a:cxn>
            <a:cxn ang="0">
              <a:pos x="csX96" y="csY96"/>
            </a:cxn>
            <a:cxn ang="0">
              <a:pos x="csX97" y="csY97"/>
            </a:cxn>
            <a:cxn ang="0">
              <a:pos x="csX98" y="csY98"/>
            </a:cxn>
            <a:cxn ang="0">
              <a:pos x="csX99" y="csY99"/>
            </a:cxn>
            <a:cxn ang="0">
              <a:pos x="csX100" y="csY100"/>
            </a:cxn>
            <a:cxn ang="0">
              <a:pos x="csX101" y="csY101"/>
            </a:cxn>
            <a:cxn ang="0">
              <a:pos x="csX102" y="csY102"/>
            </a:cxn>
            <a:cxn ang="0">
              <a:pos x="csX103" y="csY103"/>
            </a:cxn>
            <a:cxn ang="0">
              <a:pos x="csX104" y="csY104"/>
            </a:cxn>
            <a:cxn ang="0">
              <a:pos x="csX105" y="csY105"/>
            </a:cxn>
            <a:cxn ang="0">
              <a:pos x="csX106" y="csY106"/>
            </a:cxn>
            <a:cxn ang="0">
              <a:pos x="csX107" y="csY107"/>
            </a:cxn>
            <a:cxn ang="0">
              <a:pos x="csX108" y="csY108"/>
            </a:cxn>
            <a:cxn ang="0">
              <a:pos x="csX109" y="csY109"/>
            </a:cxn>
            <a:cxn ang="0">
              <a:pos x="csX110" y="csY110"/>
            </a:cxn>
            <a:cxn ang="0">
              <a:pos x="csX111" y="csY111"/>
            </a:cxn>
            <a:cxn ang="0">
              <a:pos x="csX112" y="csY112"/>
            </a:cxn>
            <a:cxn ang="0">
              <a:pos x="csX113" y="csY113"/>
            </a:cxn>
            <a:cxn ang="0">
              <a:pos x="csX114" y="csY114"/>
            </a:cxn>
            <a:cxn ang="0">
              <a:pos x="csX115" y="csY115"/>
            </a:cxn>
            <a:cxn ang="0">
              <a:pos x="csX116" y="csY116"/>
            </a:cxn>
            <a:cxn ang="0">
              <a:pos x="csX117" y="csY117"/>
            </a:cxn>
            <a:cxn ang="0">
              <a:pos x="csX118" y="csY118"/>
            </a:cxn>
            <a:cxn ang="0">
              <a:pos x="csX119" y="csY119"/>
            </a:cxn>
            <a:cxn ang="0">
              <a:pos x="csX120" y="csY120"/>
            </a:cxn>
            <a:cxn ang="0">
              <a:pos x="csX121" y="csY121"/>
            </a:cxn>
            <a:cxn ang="0">
              <a:pos x="csX122" y="csY122"/>
            </a:cxn>
            <a:cxn ang="0">
              <a:pos x="csX123" y="csY123"/>
            </a:cxn>
            <a:cxn ang="0">
              <a:pos x="csX124" y="csY124"/>
            </a:cxn>
            <a:cxn ang="0">
              <a:pos x="csX125" y="csY125"/>
            </a:cxn>
            <a:cxn ang="0">
              <a:pos x="csX126" y="csY126"/>
            </a:cxn>
            <a:cxn ang="0">
              <a:pos x="csX127" y="csY127"/>
            </a:cxn>
            <a:cxn ang="0">
              <a:pos x="csX128" y="csY128"/>
            </a:cxn>
            <a:cxn ang="0">
              <a:pos x="csX129" y="csY129"/>
            </a:cxn>
            <a:cxn ang="0">
              <a:pos x="csX130" y="csY130"/>
            </a:cxn>
            <a:cxn ang="0">
              <a:pos x="csX131" y="csY131"/>
            </a:cxn>
            <a:cxn ang="0">
              <a:pos x="csX132" y="csY132"/>
            </a:cxn>
            <a:cxn ang="0">
              <a:pos x="csX133" y="csY133"/>
            </a:cxn>
            <a:cxn ang="0">
              <a:pos x="csX134" y="csY134"/>
            </a:cxn>
            <a:cxn ang="0">
              <a:pos x="csX135" y="csY135"/>
            </a:cxn>
            <a:cxn ang="0">
              <a:pos x="csX136" y="csY136"/>
            </a:cxn>
            <a:cxn ang="0">
              <a:pos x="csX137" y="csY137"/>
            </a:cxn>
            <a:cxn ang="0">
              <a:pos x="csX138" y="csY138"/>
            </a:cxn>
            <a:cxn ang="0">
              <a:pos x="csX139" y="csY139"/>
            </a:cxn>
            <a:cxn ang="0">
              <a:pos x="csX140" y="csY140"/>
            </a:cxn>
            <a:cxn ang="0">
              <a:pos x="csX141" y="csY141"/>
            </a:cxn>
            <a:cxn ang="0">
              <a:pos x="csX142" y="csY142"/>
            </a:cxn>
            <a:cxn ang="0">
              <a:pos x="csX143" y="csY143"/>
            </a:cxn>
            <a:cxn ang="0">
              <a:pos x="csX144" y="csY144"/>
            </a:cxn>
            <a:cxn ang="0">
              <a:pos x="csX145" y="csY145"/>
            </a:cxn>
            <a:cxn ang="0">
              <a:pos x="csX146" y="csY146"/>
            </a:cxn>
            <a:cxn ang="0">
              <a:pos x="csX147" y="csY147"/>
            </a:cxn>
            <a:cxn ang="0">
              <a:pos x="csX148" y="csY148"/>
            </a:cxn>
            <a:cxn ang="0">
              <a:pos x="csX149" y="csY149"/>
            </a:cxn>
            <a:cxn ang="0">
              <a:pos x="csX150" y="csY150"/>
            </a:cxn>
            <a:cxn ang="0">
              <a:pos x="csX151" y="csY151"/>
            </a:cxn>
            <a:cxn ang="0">
              <a:pos x="csX152" y="csY152"/>
            </a:cxn>
            <a:cxn ang="0">
              <a:pos x="csX153" y="csY153"/>
            </a:cxn>
            <a:cxn ang="0">
              <a:pos x="csX154" y="csY154"/>
            </a:cxn>
            <a:cxn ang="0">
              <a:pos x="csX155" y="csY155"/>
            </a:cxn>
            <a:cxn ang="0">
              <a:pos x="csX156" y="csY156"/>
            </a:cxn>
            <a:cxn ang="0">
              <a:pos x="csX157" y="csY157"/>
            </a:cxn>
            <a:cxn ang="0">
              <a:pos x="csX158" y="csY158"/>
            </a:cxn>
            <a:cxn ang="0">
              <a:pos x="csX159" y="csY159"/>
            </a:cxn>
            <a:cxn ang="0">
              <a:pos x="csX160" y="csY160"/>
            </a:cxn>
            <a:cxn ang="0">
              <a:pos x="csX161" y="csY161"/>
            </a:cxn>
            <a:cxn ang="0">
              <a:pos x="csX162" y="csY162"/>
            </a:cxn>
            <a:cxn ang="0">
              <a:pos x="csX163" y="csY163"/>
            </a:cxn>
            <a:cxn ang="0">
              <a:pos x="csX164" y="csY164"/>
            </a:cxn>
            <a:cxn ang="0">
              <a:pos x="csX165" y="csY165"/>
            </a:cxn>
            <a:cxn ang="0">
              <a:pos x="csX166" y="csY166"/>
            </a:cxn>
            <a:cxn ang="0">
              <a:pos x="csX167" y="csY167"/>
            </a:cxn>
            <a:cxn ang="0">
              <a:pos x="csX168" y="csY168"/>
            </a:cxn>
            <a:cxn ang="0">
              <a:pos x="csX169" y="csY169"/>
            </a:cxn>
            <a:cxn ang="0">
              <a:pos x="csX170" y="csY170"/>
            </a:cxn>
            <a:cxn ang="0">
              <a:pos x="csX171" y="csY171"/>
            </a:cxn>
            <a:cxn ang="0">
              <a:pos x="csX172" y="csY172"/>
            </a:cxn>
            <a:cxn ang="0">
              <a:pos x="csX173" y="csY173"/>
            </a:cxn>
            <a:cxn ang="0">
              <a:pos x="csX174" y="csY174"/>
            </a:cxn>
            <a:cxn ang="0">
              <a:pos x="csX175" y="csY175"/>
            </a:cxn>
            <a:cxn ang="0">
              <a:pos x="csX176" y="csY176"/>
            </a:cxn>
            <a:cxn ang="0">
              <a:pos x="csX177" y="csY177"/>
            </a:cxn>
            <a:cxn ang="0">
              <a:pos x="csX178" y="csY178"/>
            </a:cxn>
            <a:cxn ang="0">
              <a:pos x="csX179" y="csY179"/>
            </a:cxn>
            <a:cxn ang="0">
              <a:pos x="csX180" y="csY180"/>
            </a:cxn>
            <a:cxn ang="0">
              <a:pos x="csX181" y="csY181"/>
            </a:cxn>
            <a:cxn ang="0">
              <a:pos x="csX182" y="csY182"/>
            </a:cxn>
            <a:cxn ang="0">
              <a:pos x="csX183" y="csY183"/>
            </a:cxn>
            <a:cxn ang="0">
              <a:pos x="csX184" y="csY184"/>
            </a:cxn>
            <a:cxn ang="0">
              <a:pos x="csX185" y="csY185"/>
            </a:cxn>
            <a:cxn ang="0">
              <a:pos x="csX186" y="csY186"/>
            </a:cxn>
            <a:cxn ang="0">
              <a:pos x="csX187" y="csY187"/>
            </a:cxn>
            <a:cxn ang="0">
              <a:pos x="csX188" y="csY188"/>
            </a:cxn>
            <a:cxn ang="0">
              <a:pos x="csX189" y="csY189"/>
            </a:cxn>
            <a:cxn ang="0">
              <a:pos x="csX190" y="csY190"/>
            </a:cxn>
            <a:cxn ang="0">
              <a:pos x="csX191" y="csY191"/>
            </a:cxn>
            <a:cxn ang="0">
              <a:pos x="csX192" y="csY192"/>
            </a:cxn>
            <a:cxn ang="0">
              <a:pos x="csX193" y="csY193"/>
            </a:cxn>
            <a:cxn ang="0">
              <a:pos x="csX194" y="csY194"/>
            </a:cxn>
            <a:cxn ang="0">
              <a:pos x="csX195" y="csY195"/>
            </a:cxn>
            <a:cxn ang="0">
              <a:pos x="csX196" y="csY196"/>
            </a:cxn>
            <a:cxn ang="0">
              <a:pos x="csX197" y="csY197"/>
            </a:cxn>
            <a:cxn ang="0">
              <a:pos x="csX198" y="csY198"/>
            </a:cxn>
            <a:cxn ang="0">
              <a:pos x="csX199" y="csY199"/>
            </a:cxn>
            <a:cxn ang="0">
              <a:pos x="csX200" y="csY200"/>
            </a:cxn>
            <a:cxn ang="0">
              <a:pos x="csX201" y="csY201"/>
            </a:cxn>
            <a:cxn ang="0">
              <a:pos x="csX202" y="csY202"/>
            </a:cxn>
            <a:cxn ang="0">
              <a:pos x="csX203" y="csY203"/>
            </a:cxn>
            <a:cxn ang="0">
              <a:pos x="csX204" y="csY204"/>
            </a:cxn>
            <a:cxn ang="0">
              <a:pos x="csX205" y="csY205"/>
            </a:cxn>
            <a:cxn ang="0">
              <a:pos x="csX206" y="csY206"/>
            </a:cxn>
            <a:cxn ang="0">
              <a:pos x="csX207" y="csY207"/>
            </a:cxn>
            <a:cxn ang="0">
              <a:pos x="csX208" y="csY208"/>
            </a:cxn>
            <a:cxn ang="0">
              <a:pos x="csX209" y="csY209"/>
            </a:cxn>
            <a:cxn ang="0">
              <a:pos x="csX210" y="csY210"/>
            </a:cxn>
            <a:cxn ang="0">
              <a:pos x="csX211" y="csY211"/>
            </a:cxn>
            <a:cxn ang="0">
              <a:pos x="csX212" y="csY212"/>
            </a:cxn>
            <a:cxn ang="0">
              <a:pos x="csX213" y="csY213"/>
            </a:cxn>
            <a:cxn ang="0">
              <a:pos x="csX214" y="csY214"/>
            </a:cxn>
            <a:cxn ang="0">
              <a:pos x="csX215" y="csY215"/>
            </a:cxn>
            <a:cxn ang="0">
              <a:pos x="csX216" y="csY216"/>
            </a:cxn>
            <a:cxn ang="0">
              <a:pos x="csX217" y="csY217"/>
            </a:cxn>
            <a:cxn ang="0">
              <a:pos x="csX218" y="csY218"/>
            </a:cxn>
            <a:cxn ang="0">
              <a:pos x="csX219" y="csY219"/>
            </a:cxn>
            <a:cxn ang="0">
              <a:pos x="csX220" y="csY220"/>
            </a:cxn>
            <a:cxn ang="0">
              <a:pos x="csX221" y="csY221"/>
            </a:cxn>
            <a:cxn ang="0">
              <a:pos x="csX222" y="csY222"/>
            </a:cxn>
            <a:cxn ang="0">
              <a:pos x="csX223" y="csY223"/>
            </a:cxn>
            <a:cxn ang="0">
              <a:pos x="csX224" y="csY224"/>
            </a:cxn>
            <a:cxn ang="0">
              <a:pos x="csX225" y="csY225"/>
            </a:cxn>
            <a:cxn ang="0">
              <a:pos x="csX226" y="csY226"/>
            </a:cxn>
            <a:cxn ang="0">
              <a:pos x="csX227" y="csY227"/>
            </a:cxn>
            <a:cxn ang="0">
              <a:pos x="csX228" y="csY228"/>
            </a:cxn>
            <a:cxn ang="0">
              <a:pos x="csX229" y="csY229"/>
            </a:cxn>
            <a:cxn ang="0">
              <a:pos x="csX230" y="csY230"/>
            </a:cxn>
            <a:cxn ang="0">
              <a:pos x="csX231" y="csY231"/>
            </a:cxn>
            <a:cxn ang="0">
              <a:pos x="csX232" y="csY232"/>
            </a:cxn>
            <a:cxn ang="0">
              <a:pos x="csX233" y="csY233"/>
            </a:cxn>
            <a:cxn ang="0">
              <a:pos x="csX234" y="csY234"/>
            </a:cxn>
            <a:cxn ang="0">
              <a:pos x="csX235" y="csY235"/>
            </a:cxn>
            <a:cxn ang="0">
              <a:pos x="csX236" y="csY236"/>
            </a:cxn>
            <a:cxn ang="0">
              <a:pos x="csX237" y="csY237"/>
            </a:cxn>
            <a:cxn ang="0">
              <a:pos x="csX238" y="csY238"/>
            </a:cxn>
            <a:cxn ang="0">
              <a:pos x="csX239" y="csY239"/>
            </a:cxn>
            <a:cxn ang="0">
              <a:pos x="csX240" y="csY240"/>
            </a:cxn>
            <a:cxn ang="0">
              <a:pos x="csX241" y="csY241"/>
            </a:cxn>
            <a:cxn ang="0">
              <a:pos x="csX242" y="csY242"/>
            </a:cxn>
            <a:cxn ang="0">
              <a:pos x="csX243" y="csY243"/>
            </a:cxn>
          </a:cxnLst>
          <a:rect l="l" t="t" r="r" b="b"/>
          <a:pathLst>
            <a:path w="771525" h="657224">
              <a:moveTo>
                <a:pt x="723900" y="429578"/>
              </a:moveTo>
              <a:lnTo>
                <a:pt x="723900" y="361950"/>
              </a:lnTo>
              <a:cubicBezTo>
                <a:pt x="723900" y="316230"/>
                <a:pt x="650558" y="285750"/>
                <a:pt x="561975" y="273368"/>
              </a:cubicBezTo>
              <a:lnTo>
                <a:pt x="561975" y="219075"/>
              </a:lnTo>
              <a:cubicBezTo>
                <a:pt x="561975" y="203835"/>
                <a:pt x="553403" y="182880"/>
                <a:pt x="514350" y="162878"/>
              </a:cubicBezTo>
              <a:lnTo>
                <a:pt x="514350" y="95250"/>
              </a:lnTo>
              <a:cubicBezTo>
                <a:pt x="514350" y="33338"/>
                <a:pt x="381953" y="0"/>
                <a:pt x="257175" y="0"/>
              </a:cubicBezTo>
              <a:cubicBezTo>
                <a:pt x="132398" y="0"/>
                <a:pt x="0" y="33338"/>
                <a:pt x="0" y="95250"/>
              </a:cubicBezTo>
              <a:lnTo>
                <a:pt x="0" y="171450"/>
              </a:lnTo>
              <a:cubicBezTo>
                <a:pt x="0" y="194310"/>
                <a:pt x="18098" y="213360"/>
                <a:pt x="47625" y="228600"/>
              </a:cubicBezTo>
              <a:lnTo>
                <a:pt x="47625" y="295275"/>
              </a:lnTo>
              <a:cubicBezTo>
                <a:pt x="47625" y="295275"/>
                <a:pt x="47625" y="295275"/>
                <a:pt x="47625" y="296228"/>
              </a:cubicBezTo>
              <a:cubicBezTo>
                <a:pt x="8573" y="316230"/>
                <a:pt x="0" y="338137"/>
                <a:pt x="0" y="352425"/>
              </a:cubicBezTo>
              <a:lnTo>
                <a:pt x="0" y="428625"/>
              </a:lnTo>
              <a:cubicBezTo>
                <a:pt x="0" y="490537"/>
                <a:pt x="132398" y="523875"/>
                <a:pt x="257175" y="523875"/>
              </a:cubicBezTo>
              <a:lnTo>
                <a:pt x="257175" y="561975"/>
              </a:lnTo>
              <a:cubicBezTo>
                <a:pt x="257175" y="623888"/>
                <a:pt x="389573" y="657225"/>
                <a:pt x="514350" y="657225"/>
              </a:cubicBezTo>
              <a:cubicBezTo>
                <a:pt x="639128" y="657225"/>
                <a:pt x="771525" y="623888"/>
                <a:pt x="771525" y="561975"/>
              </a:cubicBezTo>
              <a:lnTo>
                <a:pt x="771525" y="485775"/>
              </a:lnTo>
              <a:cubicBezTo>
                <a:pt x="771525" y="471487"/>
                <a:pt x="762953" y="449580"/>
                <a:pt x="723900" y="429578"/>
              </a:cubicBezTo>
              <a:close/>
              <a:moveTo>
                <a:pt x="752475" y="486727"/>
              </a:moveTo>
              <a:cubicBezTo>
                <a:pt x="752475" y="522923"/>
                <a:pt x="654368" y="562927"/>
                <a:pt x="514350" y="562927"/>
              </a:cubicBezTo>
              <a:cubicBezTo>
                <a:pt x="402908" y="562927"/>
                <a:pt x="318135" y="537210"/>
                <a:pt x="287655" y="508635"/>
              </a:cubicBezTo>
              <a:cubicBezTo>
                <a:pt x="287655" y="508635"/>
                <a:pt x="287655" y="508635"/>
                <a:pt x="287655" y="508635"/>
              </a:cubicBezTo>
              <a:cubicBezTo>
                <a:pt x="345758" y="526733"/>
                <a:pt x="405765" y="535305"/>
                <a:pt x="465773" y="534352"/>
              </a:cubicBezTo>
              <a:cubicBezTo>
                <a:pt x="581978" y="534352"/>
                <a:pt x="705803" y="504825"/>
                <a:pt x="721043" y="451485"/>
              </a:cubicBezTo>
              <a:cubicBezTo>
                <a:pt x="741998" y="461962"/>
                <a:pt x="752475" y="474345"/>
                <a:pt x="752475" y="486727"/>
              </a:cubicBezTo>
              <a:close/>
              <a:moveTo>
                <a:pt x="590550" y="577215"/>
              </a:moveTo>
              <a:lnTo>
                <a:pt x="590550" y="634365"/>
              </a:lnTo>
              <a:cubicBezTo>
                <a:pt x="578168" y="635318"/>
                <a:pt x="565785" y="637223"/>
                <a:pt x="552450" y="637223"/>
              </a:cubicBezTo>
              <a:lnTo>
                <a:pt x="552450" y="580073"/>
              </a:lnTo>
              <a:cubicBezTo>
                <a:pt x="565785" y="580073"/>
                <a:pt x="578168" y="579120"/>
                <a:pt x="590550" y="577215"/>
              </a:cubicBezTo>
              <a:close/>
              <a:moveTo>
                <a:pt x="609600" y="575310"/>
              </a:moveTo>
              <a:cubicBezTo>
                <a:pt x="622935" y="573405"/>
                <a:pt x="635318" y="571500"/>
                <a:pt x="647700" y="568643"/>
              </a:cubicBezTo>
              <a:lnTo>
                <a:pt x="647700" y="624840"/>
              </a:lnTo>
              <a:cubicBezTo>
                <a:pt x="636270" y="627698"/>
                <a:pt x="622935" y="629602"/>
                <a:pt x="609600" y="631508"/>
              </a:cubicBezTo>
              <a:lnTo>
                <a:pt x="609600" y="575310"/>
              </a:lnTo>
              <a:close/>
              <a:moveTo>
                <a:pt x="666750" y="563880"/>
              </a:moveTo>
              <a:cubicBezTo>
                <a:pt x="680085" y="561023"/>
                <a:pt x="692468" y="556260"/>
                <a:pt x="704850" y="551498"/>
              </a:cubicBezTo>
              <a:lnTo>
                <a:pt x="704850" y="606743"/>
              </a:lnTo>
              <a:cubicBezTo>
                <a:pt x="692468" y="612458"/>
                <a:pt x="680085" y="616268"/>
                <a:pt x="666750" y="620077"/>
              </a:cubicBezTo>
              <a:lnTo>
                <a:pt x="666750" y="563880"/>
              </a:lnTo>
              <a:close/>
              <a:moveTo>
                <a:pt x="361950" y="620077"/>
              </a:moveTo>
              <a:cubicBezTo>
                <a:pt x="348615" y="616268"/>
                <a:pt x="336233" y="612458"/>
                <a:pt x="323850" y="606743"/>
              </a:cubicBezTo>
              <a:lnTo>
                <a:pt x="323850" y="551498"/>
              </a:lnTo>
              <a:cubicBezTo>
                <a:pt x="336233" y="556260"/>
                <a:pt x="348615" y="560070"/>
                <a:pt x="361950" y="563880"/>
              </a:cubicBezTo>
              <a:lnTo>
                <a:pt x="361950" y="620077"/>
              </a:lnTo>
              <a:close/>
              <a:moveTo>
                <a:pt x="381000" y="568643"/>
              </a:moveTo>
              <a:cubicBezTo>
                <a:pt x="393383" y="571500"/>
                <a:pt x="405765" y="573405"/>
                <a:pt x="419100" y="575310"/>
              </a:cubicBezTo>
              <a:lnTo>
                <a:pt x="419100" y="632460"/>
              </a:lnTo>
              <a:cubicBezTo>
                <a:pt x="405765" y="630555"/>
                <a:pt x="392430" y="627698"/>
                <a:pt x="381000" y="625793"/>
              </a:cubicBezTo>
              <a:lnTo>
                <a:pt x="381000" y="568643"/>
              </a:lnTo>
              <a:close/>
              <a:moveTo>
                <a:pt x="438150" y="577215"/>
              </a:moveTo>
              <a:cubicBezTo>
                <a:pt x="450533" y="578168"/>
                <a:pt x="463868" y="580073"/>
                <a:pt x="476250" y="580073"/>
              </a:cubicBezTo>
              <a:lnTo>
                <a:pt x="476250" y="637223"/>
              </a:lnTo>
              <a:cubicBezTo>
                <a:pt x="462915" y="636270"/>
                <a:pt x="450533" y="635318"/>
                <a:pt x="438150" y="634365"/>
              </a:cubicBezTo>
              <a:lnTo>
                <a:pt x="438150" y="577215"/>
              </a:lnTo>
              <a:close/>
              <a:moveTo>
                <a:pt x="209550" y="362903"/>
              </a:moveTo>
              <a:lnTo>
                <a:pt x="209550" y="365760"/>
              </a:lnTo>
              <a:cubicBezTo>
                <a:pt x="196215" y="363855"/>
                <a:pt x="182880" y="360998"/>
                <a:pt x="171450" y="359093"/>
              </a:cubicBezTo>
              <a:lnTo>
                <a:pt x="171450" y="302895"/>
              </a:lnTo>
              <a:cubicBezTo>
                <a:pt x="183833" y="305753"/>
                <a:pt x="196215" y="307658"/>
                <a:pt x="209550" y="309562"/>
              </a:cubicBezTo>
              <a:lnTo>
                <a:pt x="209550" y="362903"/>
              </a:lnTo>
              <a:close/>
              <a:moveTo>
                <a:pt x="228600" y="439103"/>
              </a:moveTo>
              <a:lnTo>
                <a:pt x="228600" y="401003"/>
              </a:lnTo>
              <a:cubicBezTo>
                <a:pt x="237173" y="408623"/>
                <a:pt x="246698" y="415290"/>
                <a:pt x="257175" y="420053"/>
              </a:cubicBezTo>
              <a:lnTo>
                <a:pt x="257175" y="474345"/>
              </a:lnTo>
              <a:cubicBezTo>
                <a:pt x="239078" y="461962"/>
                <a:pt x="228600" y="450533"/>
                <a:pt x="228600" y="439103"/>
              </a:cubicBezTo>
              <a:lnTo>
                <a:pt x="228600" y="439103"/>
              </a:lnTo>
              <a:close/>
              <a:moveTo>
                <a:pt x="704850" y="439103"/>
              </a:moveTo>
              <a:cubicBezTo>
                <a:pt x="704850" y="450533"/>
                <a:pt x="694373" y="462915"/>
                <a:pt x="676275" y="473393"/>
              </a:cubicBezTo>
              <a:lnTo>
                <a:pt x="676275" y="419100"/>
              </a:lnTo>
              <a:cubicBezTo>
                <a:pt x="686753" y="414337"/>
                <a:pt x="696278" y="407670"/>
                <a:pt x="704850" y="400050"/>
              </a:cubicBezTo>
              <a:lnTo>
                <a:pt x="704850" y="439103"/>
              </a:lnTo>
              <a:close/>
              <a:moveTo>
                <a:pt x="657225" y="482918"/>
              </a:moveTo>
              <a:cubicBezTo>
                <a:pt x="644843" y="488633"/>
                <a:pt x="632460" y="492443"/>
                <a:pt x="619125" y="496252"/>
              </a:cubicBezTo>
              <a:lnTo>
                <a:pt x="619125" y="440055"/>
              </a:lnTo>
              <a:cubicBezTo>
                <a:pt x="632460" y="437198"/>
                <a:pt x="644843" y="432435"/>
                <a:pt x="657225" y="427673"/>
              </a:cubicBezTo>
              <a:lnTo>
                <a:pt x="657225" y="482918"/>
              </a:lnTo>
              <a:close/>
              <a:moveTo>
                <a:pt x="600075" y="501015"/>
              </a:moveTo>
              <a:cubicBezTo>
                <a:pt x="588645" y="503873"/>
                <a:pt x="575310" y="505777"/>
                <a:pt x="561975" y="507683"/>
              </a:cubicBezTo>
              <a:lnTo>
                <a:pt x="561975" y="450533"/>
              </a:lnTo>
              <a:cubicBezTo>
                <a:pt x="575310" y="448628"/>
                <a:pt x="587693" y="446723"/>
                <a:pt x="600075" y="443865"/>
              </a:cubicBezTo>
              <a:lnTo>
                <a:pt x="600075" y="501015"/>
              </a:lnTo>
              <a:close/>
              <a:moveTo>
                <a:pt x="542925" y="510540"/>
              </a:moveTo>
              <a:cubicBezTo>
                <a:pt x="530543" y="511493"/>
                <a:pt x="518160" y="513398"/>
                <a:pt x="504825" y="513398"/>
              </a:cubicBezTo>
              <a:lnTo>
                <a:pt x="504825" y="456248"/>
              </a:lnTo>
              <a:cubicBezTo>
                <a:pt x="517208" y="455295"/>
                <a:pt x="530543" y="454343"/>
                <a:pt x="542925" y="453390"/>
              </a:cubicBezTo>
              <a:lnTo>
                <a:pt x="542925" y="510540"/>
              </a:lnTo>
              <a:close/>
              <a:moveTo>
                <a:pt x="485775" y="514350"/>
              </a:moveTo>
              <a:cubicBezTo>
                <a:pt x="479108" y="514350"/>
                <a:pt x="473393" y="514350"/>
                <a:pt x="466725" y="514350"/>
              </a:cubicBezTo>
              <a:cubicBezTo>
                <a:pt x="460058" y="514350"/>
                <a:pt x="454343" y="514350"/>
                <a:pt x="447675" y="514350"/>
              </a:cubicBezTo>
              <a:lnTo>
                <a:pt x="447675" y="457200"/>
              </a:lnTo>
              <a:cubicBezTo>
                <a:pt x="454343" y="457200"/>
                <a:pt x="460058" y="457200"/>
                <a:pt x="466725" y="457200"/>
              </a:cubicBezTo>
              <a:cubicBezTo>
                <a:pt x="473393" y="457200"/>
                <a:pt x="479108" y="457200"/>
                <a:pt x="485775" y="457200"/>
              </a:cubicBezTo>
              <a:lnTo>
                <a:pt x="485775" y="514350"/>
              </a:lnTo>
              <a:close/>
              <a:moveTo>
                <a:pt x="428625" y="514350"/>
              </a:moveTo>
              <a:cubicBezTo>
                <a:pt x="415290" y="513398"/>
                <a:pt x="402908" y="512445"/>
                <a:pt x="390525" y="511493"/>
              </a:cubicBezTo>
              <a:lnTo>
                <a:pt x="390525" y="454343"/>
              </a:lnTo>
              <a:cubicBezTo>
                <a:pt x="402908" y="455295"/>
                <a:pt x="416243" y="457200"/>
                <a:pt x="428625" y="457200"/>
              </a:cubicBezTo>
              <a:lnTo>
                <a:pt x="428625" y="514350"/>
              </a:lnTo>
              <a:close/>
              <a:moveTo>
                <a:pt x="371475" y="508635"/>
              </a:moveTo>
              <a:cubicBezTo>
                <a:pt x="358140" y="506730"/>
                <a:pt x="344805" y="503873"/>
                <a:pt x="333375" y="501968"/>
              </a:cubicBezTo>
              <a:lnTo>
                <a:pt x="333375" y="445770"/>
              </a:lnTo>
              <a:cubicBezTo>
                <a:pt x="345758" y="448628"/>
                <a:pt x="358140" y="450533"/>
                <a:pt x="371475" y="452437"/>
              </a:cubicBezTo>
              <a:lnTo>
                <a:pt x="371475" y="508635"/>
              </a:lnTo>
              <a:close/>
              <a:moveTo>
                <a:pt x="314325" y="496252"/>
              </a:moveTo>
              <a:cubicBezTo>
                <a:pt x="300990" y="492443"/>
                <a:pt x="288608" y="488633"/>
                <a:pt x="276225" y="482918"/>
              </a:cubicBezTo>
              <a:lnTo>
                <a:pt x="276225" y="427673"/>
              </a:lnTo>
              <a:cubicBezTo>
                <a:pt x="288608" y="432435"/>
                <a:pt x="300990" y="436245"/>
                <a:pt x="314325" y="440055"/>
              </a:cubicBezTo>
              <a:lnTo>
                <a:pt x="314325" y="496252"/>
              </a:lnTo>
              <a:close/>
              <a:moveTo>
                <a:pt x="704850" y="362903"/>
              </a:moveTo>
              <a:cubicBezTo>
                <a:pt x="704850" y="399098"/>
                <a:pt x="606743" y="439103"/>
                <a:pt x="466725" y="439103"/>
              </a:cubicBezTo>
              <a:cubicBezTo>
                <a:pt x="326708" y="439103"/>
                <a:pt x="228600" y="399098"/>
                <a:pt x="228600" y="362903"/>
              </a:cubicBezTo>
              <a:cubicBezTo>
                <a:pt x="228600" y="326708"/>
                <a:pt x="326708" y="286703"/>
                <a:pt x="466725" y="286703"/>
              </a:cubicBezTo>
              <a:cubicBezTo>
                <a:pt x="606743" y="286703"/>
                <a:pt x="704850" y="326708"/>
                <a:pt x="704850" y="362903"/>
              </a:cubicBezTo>
              <a:close/>
              <a:moveTo>
                <a:pt x="228600" y="324803"/>
              </a:moveTo>
              <a:lnTo>
                <a:pt x="228600" y="310515"/>
              </a:lnTo>
              <a:cubicBezTo>
                <a:pt x="234315" y="311468"/>
                <a:pt x="240030" y="311468"/>
                <a:pt x="245745" y="312420"/>
              </a:cubicBezTo>
              <a:cubicBezTo>
                <a:pt x="240030" y="316230"/>
                <a:pt x="234315" y="320040"/>
                <a:pt x="228600" y="324803"/>
              </a:cubicBezTo>
              <a:close/>
              <a:moveTo>
                <a:pt x="526733" y="269558"/>
              </a:moveTo>
              <a:cubicBezTo>
                <a:pt x="532448" y="265748"/>
                <a:pt x="538163" y="261937"/>
                <a:pt x="543878" y="257175"/>
              </a:cubicBezTo>
              <a:lnTo>
                <a:pt x="543878" y="271462"/>
              </a:lnTo>
              <a:cubicBezTo>
                <a:pt x="537210" y="270510"/>
                <a:pt x="532448" y="270510"/>
                <a:pt x="526733" y="269558"/>
              </a:cubicBezTo>
              <a:close/>
              <a:moveTo>
                <a:pt x="512445" y="183833"/>
              </a:moveTo>
              <a:cubicBezTo>
                <a:pt x="532448" y="195262"/>
                <a:pt x="542925" y="207645"/>
                <a:pt x="542925" y="219075"/>
              </a:cubicBezTo>
              <a:cubicBezTo>
                <a:pt x="542925" y="235267"/>
                <a:pt x="521970" y="253365"/>
                <a:pt x="486728" y="266700"/>
              </a:cubicBezTo>
              <a:cubicBezTo>
                <a:pt x="480060" y="266700"/>
                <a:pt x="473393" y="266700"/>
                <a:pt x="466725" y="266700"/>
              </a:cubicBezTo>
              <a:cubicBezTo>
                <a:pt x="400050" y="266700"/>
                <a:pt x="330518" y="276225"/>
                <a:pt x="280988" y="295275"/>
              </a:cubicBezTo>
              <a:cubicBezTo>
                <a:pt x="180975" y="292418"/>
                <a:pt x="106680" y="268605"/>
                <a:pt x="79058" y="241935"/>
              </a:cubicBezTo>
              <a:cubicBezTo>
                <a:pt x="79058" y="241935"/>
                <a:pt x="79058" y="241935"/>
                <a:pt x="79058" y="241935"/>
              </a:cubicBezTo>
              <a:cubicBezTo>
                <a:pt x="137160" y="260033"/>
                <a:pt x="197168" y="268605"/>
                <a:pt x="257175" y="267653"/>
              </a:cubicBezTo>
              <a:cubicBezTo>
                <a:pt x="373380" y="267653"/>
                <a:pt x="497205" y="238125"/>
                <a:pt x="512445" y="183833"/>
              </a:cubicBezTo>
              <a:close/>
              <a:moveTo>
                <a:pt x="152400" y="297180"/>
              </a:moveTo>
              <a:lnTo>
                <a:pt x="152400" y="353378"/>
              </a:lnTo>
              <a:cubicBezTo>
                <a:pt x="139065" y="349568"/>
                <a:pt x="126683" y="345758"/>
                <a:pt x="114300" y="340043"/>
              </a:cubicBezTo>
              <a:lnTo>
                <a:pt x="114300" y="284798"/>
              </a:lnTo>
              <a:cubicBezTo>
                <a:pt x="126683" y="289560"/>
                <a:pt x="140018" y="294323"/>
                <a:pt x="152400" y="297180"/>
              </a:cubicBezTo>
              <a:close/>
              <a:moveTo>
                <a:pt x="95250" y="276225"/>
              </a:moveTo>
              <a:lnTo>
                <a:pt x="95250" y="330518"/>
              </a:lnTo>
              <a:cubicBezTo>
                <a:pt x="77153" y="319087"/>
                <a:pt x="66675" y="307658"/>
                <a:pt x="66675" y="296228"/>
              </a:cubicBezTo>
              <a:lnTo>
                <a:pt x="66675" y="258128"/>
              </a:lnTo>
              <a:cubicBezTo>
                <a:pt x="75248" y="264795"/>
                <a:pt x="84773" y="271462"/>
                <a:pt x="95250" y="276225"/>
              </a:cubicBezTo>
              <a:close/>
              <a:moveTo>
                <a:pt x="66675" y="216217"/>
              </a:moveTo>
              <a:lnTo>
                <a:pt x="66675" y="160973"/>
              </a:lnTo>
              <a:cubicBezTo>
                <a:pt x="79058" y="165735"/>
                <a:pt x="91440" y="169545"/>
                <a:pt x="104775" y="173355"/>
              </a:cubicBezTo>
              <a:lnTo>
                <a:pt x="104775" y="229553"/>
              </a:lnTo>
              <a:cubicBezTo>
                <a:pt x="92393" y="225742"/>
                <a:pt x="79058" y="221933"/>
                <a:pt x="66675" y="216217"/>
              </a:cubicBezTo>
              <a:close/>
              <a:moveTo>
                <a:pt x="123825" y="234315"/>
              </a:moveTo>
              <a:lnTo>
                <a:pt x="123825" y="178117"/>
              </a:lnTo>
              <a:cubicBezTo>
                <a:pt x="136208" y="180975"/>
                <a:pt x="148590" y="182880"/>
                <a:pt x="161925" y="184785"/>
              </a:cubicBezTo>
              <a:lnTo>
                <a:pt x="161925" y="241935"/>
              </a:lnTo>
              <a:cubicBezTo>
                <a:pt x="148590" y="240030"/>
                <a:pt x="136208" y="237173"/>
                <a:pt x="123825" y="234315"/>
              </a:cubicBezTo>
              <a:close/>
              <a:moveTo>
                <a:pt x="180975" y="243840"/>
              </a:moveTo>
              <a:lnTo>
                <a:pt x="180975" y="186690"/>
              </a:lnTo>
              <a:cubicBezTo>
                <a:pt x="193358" y="187642"/>
                <a:pt x="206693" y="189548"/>
                <a:pt x="219075" y="189548"/>
              </a:cubicBezTo>
              <a:lnTo>
                <a:pt x="219075" y="246698"/>
              </a:lnTo>
              <a:cubicBezTo>
                <a:pt x="205740" y="246698"/>
                <a:pt x="193358" y="245745"/>
                <a:pt x="180975" y="243840"/>
              </a:cubicBezTo>
              <a:close/>
              <a:moveTo>
                <a:pt x="238125" y="247650"/>
              </a:moveTo>
              <a:lnTo>
                <a:pt x="238125" y="190500"/>
              </a:lnTo>
              <a:cubicBezTo>
                <a:pt x="244792" y="190500"/>
                <a:pt x="250508" y="190500"/>
                <a:pt x="257175" y="190500"/>
              </a:cubicBezTo>
              <a:cubicBezTo>
                <a:pt x="263843" y="190500"/>
                <a:pt x="269558" y="190500"/>
                <a:pt x="276225" y="190500"/>
              </a:cubicBezTo>
              <a:lnTo>
                <a:pt x="276225" y="247650"/>
              </a:lnTo>
              <a:cubicBezTo>
                <a:pt x="269558" y="247650"/>
                <a:pt x="263843" y="247650"/>
                <a:pt x="257175" y="247650"/>
              </a:cubicBezTo>
              <a:cubicBezTo>
                <a:pt x="250508" y="247650"/>
                <a:pt x="244792" y="248603"/>
                <a:pt x="238125" y="247650"/>
              </a:cubicBezTo>
              <a:close/>
              <a:moveTo>
                <a:pt x="295275" y="247650"/>
              </a:moveTo>
              <a:lnTo>
                <a:pt x="295275" y="190500"/>
              </a:lnTo>
              <a:cubicBezTo>
                <a:pt x="307658" y="189548"/>
                <a:pt x="320993" y="188595"/>
                <a:pt x="333375" y="187642"/>
              </a:cubicBezTo>
              <a:lnTo>
                <a:pt x="333375" y="244792"/>
              </a:lnTo>
              <a:cubicBezTo>
                <a:pt x="320993" y="245745"/>
                <a:pt x="308610" y="246698"/>
                <a:pt x="295275" y="247650"/>
              </a:cubicBezTo>
              <a:close/>
              <a:moveTo>
                <a:pt x="352425" y="241935"/>
              </a:moveTo>
              <a:lnTo>
                <a:pt x="352425" y="184785"/>
              </a:lnTo>
              <a:cubicBezTo>
                <a:pt x="365760" y="182880"/>
                <a:pt x="378143" y="180975"/>
                <a:pt x="390525" y="178117"/>
              </a:cubicBezTo>
              <a:lnTo>
                <a:pt x="390525" y="234315"/>
              </a:lnTo>
              <a:cubicBezTo>
                <a:pt x="379095" y="237173"/>
                <a:pt x="365760" y="240030"/>
                <a:pt x="352425" y="241935"/>
              </a:cubicBezTo>
              <a:close/>
              <a:moveTo>
                <a:pt x="409575" y="229553"/>
              </a:moveTo>
              <a:lnTo>
                <a:pt x="409575" y="173355"/>
              </a:lnTo>
              <a:cubicBezTo>
                <a:pt x="422910" y="170498"/>
                <a:pt x="435293" y="165735"/>
                <a:pt x="447675" y="160973"/>
              </a:cubicBezTo>
              <a:lnTo>
                <a:pt x="447675" y="216217"/>
              </a:lnTo>
              <a:cubicBezTo>
                <a:pt x="435293" y="221933"/>
                <a:pt x="422910" y="225742"/>
                <a:pt x="409575" y="229553"/>
              </a:cubicBezTo>
              <a:close/>
              <a:moveTo>
                <a:pt x="466725" y="206692"/>
              </a:moveTo>
              <a:lnTo>
                <a:pt x="466725" y="152400"/>
              </a:lnTo>
              <a:cubicBezTo>
                <a:pt x="477203" y="147638"/>
                <a:pt x="486728" y="140970"/>
                <a:pt x="495300" y="133350"/>
              </a:cubicBezTo>
              <a:lnTo>
                <a:pt x="495300" y="171450"/>
              </a:lnTo>
              <a:cubicBezTo>
                <a:pt x="495300" y="183833"/>
                <a:pt x="485775" y="195262"/>
                <a:pt x="466725" y="206692"/>
              </a:cubicBezTo>
              <a:close/>
              <a:moveTo>
                <a:pt x="47625" y="206692"/>
              </a:moveTo>
              <a:cubicBezTo>
                <a:pt x="29528" y="195262"/>
                <a:pt x="19050" y="183833"/>
                <a:pt x="19050" y="172403"/>
              </a:cubicBezTo>
              <a:lnTo>
                <a:pt x="19050" y="134303"/>
              </a:lnTo>
              <a:cubicBezTo>
                <a:pt x="27623" y="141923"/>
                <a:pt x="37148" y="148590"/>
                <a:pt x="47625" y="153353"/>
              </a:cubicBezTo>
              <a:lnTo>
                <a:pt x="47625" y="206692"/>
              </a:lnTo>
              <a:close/>
              <a:moveTo>
                <a:pt x="19050" y="96203"/>
              </a:moveTo>
              <a:cubicBezTo>
                <a:pt x="19050" y="60007"/>
                <a:pt x="117158" y="20002"/>
                <a:pt x="257175" y="20002"/>
              </a:cubicBezTo>
              <a:cubicBezTo>
                <a:pt x="397193" y="20002"/>
                <a:pt x="495300" y="60007"/>
                <a:pt x="495300" y="96203"/>
              </a:cubicBezTo>
              <a:cubicBezTo>
                <a:pt x="495300" y="132398"/>
                <a:pt x="397193" y="172403"/>
                <a:pt x="257175" y="172403"/>
              </a:cubicBezTo>
              <a:cubicBezTo>
                <a:pt x="117158" y="172403"/>
                <a:pt x="19050" y="131445"/>
                <a:pt x="19050" y="96203"/>
              </a:cubicBezTo>
              <a:close/>
              <a:moveTo>
                <a:pt x="52388" y="315278"/>
              </a:moveTo>
              <a:cubicBezTo>
                <a:pt x="69533" y="350520"/>
                <a:pt x="134303" y="373380"/>
                <a:pt x="209550" y="383858"/>
              </a:cubicBezTo>
              <a:lnTo>
                <a:pt x="209550" y="426720"/>
              </a:lnTo>
              <a:cubicBezTo>
                <a:pt x="95250" y="419100"/>
                <a:pt x="19050" y="383858"/>
                <a:pt x="19050" y="352425"/>
              </a:cubicBezTo>
              <a:cubicBezTo>
                <a:pt x="19050" y="340043"/>
                <a:pt x="31433" y="327660"/>
                <a:pt x="52388" y="315278"/>
              </a:cubicBezTo>
              <a:close/>
              <a:moveTo>
                <a:pt x="47625" y="463868"/>
              </a:moveTo>
              <a:cubicBezTo>
                <a:pt x="29528" y="452437"/>
                <a:pt x="19050" y="441008"/>
                <a:pt x="19050" y="429578"/>
              </a:cubicBezTo>
              <a:lnTo>
                <a:pt x="19050" y="391478"/>
              </a:lnTo>
              <a:cubicBezTo>
                <a:pt x="27623" y="399098"/>
                <a:pt x="37148" y="405765"/>
                <a:pt x="47625" y="410528"/>
              </a:cubicBezTo>
              <a:lnTo>
                <a:pt x="47625" y="463868"/>
              </a:lnTo>
              <a:close/>
              <a:moveTo>
                <a:pt x="104775" y="486727"/>
              </a:moveTo>
              <a:cubicBezTo>
                <a:pt x="91440" y="482918"/>
                <a:pt x="79058" y="479108"/>
                <a:pt x="66675" y="473393"/>
              </a:cubicBezTo>
              <a:lnTo>
                <a:pt x="66675" y="418148"/>
              </a:lnTo>
              <a:cubicBezTo>
                <a:pt x="79058" y="422910"/>
                <a:pt x="91440" y="426720"/>
                <a:pt x="104775" y="430530"/>
              </a:cubicBezTo>
              <a:lnTo>
                <a:pt x="104775" y="486727"/>
              </a:lnTo>
              <a:close/>
              <a:moveTo>
                <a:pt x="161925" y="499110"/>
              </a:moveTo>
              <a:cubicBezTo>
                <a:pt x="148590" y="497205"/>
                <a:pt x="135255" y="494348"/>
                <a:pt x="123825" y="492443"/>
              </a:cubicBezTo>
              <a:lnTo>
                <a:pt x="123825" y="436245"/>
              </a:lnTo>
              <a:cubicBezTo>
                <a:pt x="136208" y="439103"/>
                <a:pt x="148590" y="441008"/>
                <a:pt x="161925" y="442912"/>
              </a:cubicBezTo>
              <a:lnTo>
                <a:pt x="161925" y="499110"/>
              </a:lnTo>
              <a:close/>
              <a:moveTo>
                <a:pt x="180975" y="443865"/>
              </a:moveTo>
              <a:cubicBezTo>
                <a:pt x="190500" y="444818"/>
                <a:pt x="200025" y="445770"/>
                <a:pt x="210503" y="446723"/>
              </a:cubicBezTo>
              <a:cubicBezTo>
                <a:pt x="211455" y="453390"/>
                <a:pt x="215265" y="460058"/>
                <a:pt x="219075" y="466725"/>
              </a:cubicBezTo>
              <a:lnTo>
                <a:pt x="219075" y="504825"/>
              </a:lnTo>
              <a:cubicBezTo>
                <a:pt x="205740" y="503873"/>
                <a:pt x="193358" y="502920"/>
                <a:pt x="180975" y="501968"/>
              </a:cubicBezTo>
              <a:lnTo>
                <a:pt x="180975" y="443865"/>
              </a:lnTo>
              <a:close/>
              <a:moveTo>
                <a:pt x="238125" y="483870"/>
              </a:moveTo>
              <a:cubicBezTo>
                <a:pt x="243840" y="487680"/>
                <a:pt x="250508" y="491490"/>
                <a:pt x="257175" y="495300"/>
              </a:cubicBezTo>
              <a:lnTo>
                <a:pt x="257175" y="504825"/>
              </a:lnTo>
              <a:cubicBezTo>
                <a:pt x="250508" y="504825"/>
                <a:pt x="244792" y="504825"/>
                <a:pt x="238125" y="504825"/>
              </a:cubicBezTo>
              <a:lnTo>
                <a:pt x="238125" y="483870"/>
              </a:lnTo>
              <a:close/>
              <a:moveTo>
                <a:pt x="276225" y="562927"/>
              </a:moveTo>
              <a:lnTo>
                <a:pt x="276225" y="524827"/>
              </a:lnTo>
              <a:cubicBezTo>
                <a:pt x="284798" y="532448"/>
                <a:pt x="294323" y="539115"/>
                <a:pt x="304800" y="543877"/>
              </a:cubicBezTo>
              <a:lnTo>
                <a:pt x="304800" y="598170"/>
              </a:lnTo>
              <a:cubicBezTo>
                <a:pt x="286703" y="585788"/>
                <a:pt x="276225" y="574358"/>
                <a:pt x="276225" y="562927"/>
              </a:cubicBezTo>
              <a:lnTo>
                <a:pt x="276225" y="562927"/>
              </a:lnTo>
              <a:close/>
              <a:moveTo>
                <a:pt x="495300" y="581025"/>
              </a:moveTo>
              <a:cubicBezTo>
                <a:pt x="501968" y="581025"/>
                <a:pt x="507683" y="581025"/>
                <a:pt x="514350" y="581025"/>
              </a:cubicBezTo>
              <a:cubicBezTo>
                <a:pt x="521018" y="581025"/>
                <a:pt x="526733" y="581025"/>
                <a:pt x="533400" y="581025"/>
              </a:cubicBezTo>
              <a:lnTo>
                <a:pt x="533400" y="638175"/>
              </a:lnTo>
              <a:cubicBezTo>
                <a:pt x="526733" y="638175"/>
                <a:pt x="521018" y="638175"/>
                <a:pt x="514350" y="638175"/>
              </a:cubicBezTo>
              <a:cubicBezTo>
                <a:pt x="507683" y="638175"/>
                <a:pt x="501968" y="638175"/>
                <a:pt x="495300" y="638175"/>
              </a:cubicBezTo>
              <a:lnTo>
                <a:pt x="495300" y="581025"/>
              </a:lnTo>
              <a:close/>
              <a:moveTo>
                <a:pt x="723900" y="542925"/>
              </a:moveTo>
              <a:cubicBezTo>
                <a:pt x="734378" y="538163"/>
                <a:pt x="743903" y="531495"/>
                <a:pt x="752475" y="523875"/>
              </a:cubicBezTo>
              <a:lnTo>
                <a:pt x="752475" y="561975"/>
              </a:lnTo>
              <a:cubicBezTo>
                <a:pt x="752475" y="573405"/>
                <a:pt x="741998" y="585788"/>
                <a:pt x="723900" y="596265"/>
              </a:cubicBezTo>
              <a:lnTo>
                <a:pt x="723900" y="542925"/>
              </a:lnTo>
              <a:close/>
            </a:path>
          </a:pathLst>
        </a:custGeom>
        <a:solidFill>
          <a:srgbClr val="CBD5E1"/>
        </a:solidFill>
        <a:ln w="9525" cap="flat">
          <a:noFill/>
          <a:prstDash val="solid"/>
          <a:miter/>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200025</xdr:colOff>
      <xdr:row>0</xdr:row>
      <xdr:rowOff>142875</xdr:rowOff>
    </xdr:from>
    <xdr:to>
      <xdr:col>32</xdr:col>
      <xdr:colOff>447675</xdr:colOff>
      <xdr:row>48</xdr:row>
      <xdr:rowOff>85725</xdr:rowOff>
    </xdr:to>
    <xdr:sp macro="" textlink="">
      <xdr:nvSpPr>
        <xdr:cNvPr id="3" name="Rectangle 2">
          <a:extLst>
            <a:ext uri="{FF2B5EF4-FFF2-40B4-BE49-F238E27FC236}">
              <a16:creationId xmlns:a16="http://schemas.microsoft.com/office/drawing/2014/main" id="{35935FA7-4DA3-257E-F251-D9F1E7F96831}"/>
            </a:ext>
          </a:extLst>
        </xdr:cNvPr>
        <xdr:cNvSpPr/>
      </xdr:nvSpPr>
      <xdr:spPr>
        <a:xfrm>
          <a:off x="200025" y="142875"/>
          <a:ext cx="19754850" cy="9086850"/>
        </a:xfrm>
        <a:prstGeom prst="rect">
          <a:avLst/>
        </a:prstGeom>
        <a:solidFill>
          <a:srgbClr val="EDF2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342900</xdr:colOff>
      <xdr:row>15</xdr:row>
      <xdr:rowOff>19050</xdr:rowOff>
    </xdr:from>
    <xdr:to>
      <xdr:col>20</xdr:col>
      <xdr:colOff>342900</xdr:colOff>
      <xdr:row>30</xdr:row>
      <xdr:rowOff>87630</xdr:rowOff>
    </xdr:to>
    <xdr:graphicFrame macro="">
      <xdr:nvGraphicFramePr>
        <xdr:cNvPr id="4" name="Chart 3">
          <a:extLst>
            <a:ext uri="{FF2B5EF4-FFF2-40B4-BE49-F238E27FC236}">
              <a16:creationId xmlns:a16="http://schemas.microsoft.com/office/drawing/2014/main" id="{BD7D400E-C246-4CC1-8016-F723BAB4A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495300</xdr:colOff>
      <xdr:row>15</xdr:row>
      <xdr:rowOff>9525</xdr:rowOff>
    </xdr:from>
    <xdr:to>
      <xdr:col>26</xdr:col>
      <xdr:colOff>495300</xdr:colOff>
      <xdr:row>30</xdr:row>
      <xdr:rowOff>78105</xdr:rowOff>
    </xdr:to>
    <xdr:graphicFrame macro="">
      <xdr:nvGraphicFramePr>
        <xdr:cNvPr id="5" name="Chart 4">
          <a:extLst>
            <a:ext uri="{FF2B5EF4-FFF2-40B4-BE49-F238E27FC236}">
              <a16:creationId xmlns:a16="http://schemas.microsoft.com/office/drawing/2014/main" id="{03459327-0A90-4CE9-A06E-89152E03A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333374</xdr:colOff>
      <xdr:row>30</xdr:row>
      <xdr:rowOff>180975</xdr:rowOff>
    </xdr:from>
    <xdr:to>
      <xdr:col>20</xdr:col>
      <xdr:colOff>333374</xdr:colOff>
      <xdr:row>46</xdr:row>
      <xdr:rowOff>59055</xdr:rowOff>
    </xdr:to>
    <xdr:graphicFrame macro="">
      <xdr:nvGraphicFramePr>
        <xdr:cNvPr id="6" name="Chart 5">
          <a:extLst>
            <a:ext uri="{FF2B5EF4-FFF2-40B4-BE49-F238E27FC236}">
              <a16:creationId xmlns:a16="http://schemas.microsoft.com/office/drawing/2014/main" id="{C29FAAFE-E114-42FE-8F4C-12886E5C7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600075</xdr:colOff>
      <xdr:row>31</xdr:row>
      <xdr:rowOff>9524</xdr:rowOff>
    </xdr:from>
    <xdr:to>
      <xdr:col>7</xdr:col>
      <xdr:colOff>600075</xdr:colOff>
      <xdr:row>46</xdr:row>
      <xdr:rowOff>78104</xdr:rowOff>
    </xdr:to>
    <xdr:graphicFrame macro="">
      <xdr:nvGraphicFramePr>
        <xdr:cNvPr id="7" name="Chart 6">
          <a:extLst>
            <a:ext uri="{FF2B5EF4-FFF2-40B4-BE49-F238E27FC236}">
              <a16:creationId xmlns:a16="http://schemas.microsoft.com/office/drawing/2014/main" id="{F8F009A9-7822-476E-B24C-0BA406B7E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171450</xdr:colOff>
      <xdr:row>15</xdr:row>
      <xdr:rowOff>28575</xdr:rowOff>
    </xdr:from>
    <xdr:to>
      <xdr:col>14</xdr:col>
      <xdr:colOff>171450</xdr:colOff>
      <xdr:row>30</xdr:row>
      <xdr:rowOff>97155</xdr:rowOff>
    </xdr:to>
    <xdr:graphicFrame macro="">
      <xdr:nvGraphicFramePr>
        <xdr:cNvPr id="8" name="Chart 7">
          <a:extLst>
            <a:ext uri="{FF2B5EF4-FFF2-40B4-BE49-F238E27FC236}">
              <a16:creationId xmlns:a16="http://schemas.microsoft.com/office/drawing/2014/main" id="{5EDCBE7C-E312-480C-8178-BA3BD28AC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600075</xdr:colOff>
      <xdr:row>15</xdr:row>
      <xdr:rowOff>38099</xdr:rowOff>
    </xdr:from>
    <xdr:to>
      <xdr:col>7</xdr:col>
      <xdr:colOff>600075</xdr:colOff>
      <xdr:row>30</xdr:row>
      <xdr:rowOff>106679</xdr:rowOff>
    </xdr:to>
    <xdr:graphicFrame macro="">
      <xdr:nvGraphicFramePr>
        <xdr:cNvPr id="2" name="Chart 1">
          <a:extLst>
            <a:ext uri="{FF2B5EF4-FFF2-40B4-BE49-F238E27FC236}">
              <a16:creationId xmlns:a16="http://schemas.microsoft.com/office/drawing/2014/main" id="{610D3158-CA21-4193-AAD4-4DD089CB3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152400</xdr:colOff>
      <xdr:row>30</xdr:row>
      <xdr:rowOff>171449</xdr:rowOff>
    </xdr:from>
    <xdr:to>
      <xdr:col>14</xdr:col>
      <xdr:colOff>152400</xdr:colOff>
      <xdr:row>46</xdr:row>
      <xdr:rowOff>49529</xdr:rowOff>
    </xdr:to>
    <xdr:graphicFrame macro="">
      <xdr:nvGraphicFramePr>
        <xdr:cNvPr id="12" name="Chart 11">
          <a:extLst>
            <a:ext uri="{FF2B5EF4-FFF2-40B4-BE49-F238E27FC236}">
              <a16:creationId xmlns:a16="http://schemas.microsoft.com/office/drawing/2014/main" id="{B658D57E-85C4-471E-898F-FBDA86AC7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228600</xdr:colOff>
      <xdr:row>9</xdr:row>
      <xdr:rowOff>47625</xdr:rowOff>
    </xdr:from>
    <xdr:to>
      <xdr:col>8</xdr:col>
      <xdr:colOff>45720</xdr:colOff>
      <xdr:row>14</xdr:row>
      <xdr:rowOff>100965</xdr:rowOff>
    </xdr:to>
    <xdr:sp macro="" textlink="ANALYSIS!B33">
      <xdr:nvSpPr>
        <xdr:cNvPr id="13" name="Rectangle: Rounded Corners 12">
          <a:extLst>
            <a:ext uri="{FF2B5EF4-FFF2-40B4-BE49-F238E27FC236}">
              <a16:creationId xmlns:a16="http://schemas.microsoft.com/office/drawing/2014/main" id="{92F6A256-CEDE-F9F5-6A89-44804954790D}"/>
            </a:ext>
          </a:extLst>
        </xdr:cNvPr>
        <xdr:cNvSpPr/>
      </xdr:nvSpPr>
      <xdr:spPr>
        <a:xfrm>
          <a:off x="3276600" y="1762125"/>
          <a:ext cx="1645920" cy="1005840"/>
        </a:xfrm>
        <a:prstGeom prst="roundRect">
          <a:avLst/>
        </a:prstGeom>
        <a:solidFill>
          <a:srgbClr val="1F29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4C1877A-494C-4A48-9034-8B32C4945702}" type="TxLink">
            <a:rPr lang="en-US" sz="2000" b="1" i="0" u="none" strike="noStrike">
              <a:solidFill>
                <a:srgbClr val="FFFFFF"/>
              </a:solidFill>
              <a:latin typeface="Calibri"/>
              <a:ea typeface="Calibri"/>
              <a:cs typeface="Calibri"/>
            </a:rPr>
            <a:pPr algn="ctr"/>
            <a:t> $76,850 </a:t>
          </a:fld>
          <a:endParaRPr lang="en-US" sz="2000" b="1">
            <a:solidFill>
              <a:srgbClr val="FFFFFF"/>
            </a:solidFill>
          </a:endParaRPr>
        </a:p>
      </xdr:txBody>
    </xdr:sp>
    <xdr:clientData/>
  </xdr:twoCellAnchor>
  <xdr:twoCellAnchor>
    <xdr:from>
      <xdr:col>5</xdr:col>
      <xdr:colOff>333375</xdr:colOff>
      <xdr:row>10</xdr:row>
      <xdr:rowOff>9525</xdr:rowOff>
    </xdr:from>
    <xdr:to>
      <xdr:col>8</xdr:col>
      <xdr:colOff>19051</xdr:colOff>
      <xdr:row>11</xdr:row>
      <xdr:rowOff>161925</xdr:rowOff>
    </xdr:to>
    <xdr:sp macro="" textlink="">
      <xdr:nvSpPr>
        <xdr:cNvPr id="14" name="TextBox 13">
          <a:extLst>
            <a:ext uri="{FF2B5EF4-FFF2-40B4-BE49-F238E27FC236}">
              <a16:creationId xmlns:a16="http://schemas.microsoft.com/office/drawing/2014/main" id="{E3CB8EB5-16A8-D75D-DC15-447D37528DD1}"/>
            </a:ext>
          </a:extLst>
        </xdr:cNvPr>
        <xdr:cNvSpPr txBox="1"/>
      </xdr:nvSpPr>
      <xdr:spPr>
        <a:xfrm>
          <a:off x="3381375" y="1914525"/>
          <a:ext cx="1514476" cy="342900"/>
        </a:xfrm>
        <a:prstGeom prst="rect">
          <a:avLst/>
        </a:prstGeom>
        <a:solidFill>
          <a:srgbClr val="1F29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CBD5E1"/>
              </a:solidFill>
            </a:rPr>
            <a:t>TOTAL REVENUE</a:t>
          </a:r>
        </a:p>
      </xdr:txBody>
    </xdr:sp>
    <xdr:clientData/>
  </xdr:twoCellAnchor>
  <xdr:twoCellAnchor>
    <xdr:from>
      <xdr:col>22</xdr:col>
      <xdr:colOff>228600</xdr:colOff>
      <xdr:row>9</xdr:row>
      <xdr:rowOff>28575</xdr:rowOff>
    </xdr:from>
    <xdr:to>
      <xdr:col>25</xdr:col>
      <xdr:colOff>45720</xdr:colOff>
      <xdr:row>14</xdr:row>
      <xdr:rowOff>81915</xdr:rowOff>
    </xdr:to>
    <xdr:sp macro="" textlink="ANALYSIS!G33">
      <xdr:nvSpPr>
        <xdr:cNvPr id="15" name="Rectangle: Rounded Corners 14">
          <a:extLst>
            <a:ext uri="{FF2B5EF4-FFF2-40B4-BE49-F238E27FC236}">
              <a16:creationId xmlns:a16="http://schemas.microsoft.com/office/drawing/2014/main" id="{1CF05207-67AC-2BC2-0F2F-283F2D566A05}"/>
            </a:ext>
          </a:extLst>
        </xdr:cNvPr>
        <xdr:cNvSpPr/>
      </xdr:nvSpPr>
      <xdr:spPr>
        <a:xfrm>
          <a:off x="13639800" y="1743075"/>
          <a:ext cx="1645920" cy="1005840"/>
        </a:xfrm>
        <a:prstGeom prst="roundRect">
          <a:avLst/>
        </a:prstGeom>
        <a:solidFill>
          <a:srgbClr val="1F29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72141BB-9B31-4D37-8E00-71998F148354}" type="TxLink">
            <a:rPr lang="en-US" sz="2000" b="1" i="0" u="none" strike="noStrike">
              <a:solidFill>
                <a:schemeClr val="bg1"/>
              </a:solidFill>
              <a:latin typeface="Calibri"/>
              <a:ea typeface="Calibri"/>
              <a:cs typeface="Calibri"/>
            </a:rPr>
            <a:pPr algn="ctr"/>
            <a:t>7.87</a:t>
          </a:fld>
          <a:endParaRPr lang="en-US" sz="2000" b="1">
            <a:solidFill>
              <a:schemeClr val="bg1"/>
            </a:solidFill>
          </a:endParaRPr>
        </a:p>
      </xdr:txBody>
    </xdr:sp>
    <xdr:clientData/>
  </xdr:twoCellAnchor>
  <xdr:twoCellAnchor>
    <xdr:from>
      <xdr:col>22</xdr:col>
      <xdr:colOff>304800</xdr:colOff>
      <xdr:row>9</xdr:row>
      <xdr:rowOff>76200</xdr:rowOff>
    </xdr:from>
    <xdr:to>
      <xdr:col>24</xdr:col>
      <xdr:colOff>561976</xdr:colOff>
      <xdr:row>12</xdr:row>
      <xdr:rowOff>66676</xdr:rowOff>
    </xdr:to>
    <xdr:sp macro="" textlink="">
      <xdr:nvSpPr>
        <xdr:cNvPr id="16" name="TextBox 15">
          <a:extLst>
            <a:ext uri="{FF2B5EF4-FFF2-40B4-BE49-F238E27FC236}">
              <a16:creationId xmlns:a16="http://schemas.microsoft.com/office/drawing/2014/main" id="{EFE8DBD3-1DD9-B23C-56DC-FE6244E785AD}"/>
            </a:ext>
          </a:extLst>
        </xdr:cNvPr>
        <xdr:cNvSpPr txBox="1"/>
      </xdr:nvSpPr>
      <xdr:spPr>
        <a:xfrm>
          <a:off x="13716000" y="1790700"/>
          <a:ext cx="1476376" cy="561976"/>
        </a:xfrm>
        <a:prstGeom prst="rect">
          <a:avLst/>
        </a:prstGeom>
        <a:solidFill>
          <a:srgbClr val="1F29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E2E8F0"/>
              </a:solidFill>
            </a:rPr>
            <a:t>AVERAGE SATISFACTION SCORE</a:t>
          </a:r>
          <a:endParaRPr lang="en-US" sz="1000" b="1">
            <a:solidFill>
              <a:srgbClr val="E2E8F0"/>
            </a:solidFill>
          </a:endParaRPr>
        </a:p>
      </xdr:txBody>
    </xdr:sp>
    <xdr:clientData/>
  </xdr:twoCellAnchor>
  <xdr:twoCellAnchor>
    <xdr:from>
      <xdr:col>11</xdr:col>
      <xdr:colOff>504825</xdr:colOff>
      <xdr:row>9</xdr:row>
      <xdr:rowOff>38100</xdr:rowOff>
    </xdr:from>
    <xdr:to>
      <xdr:col>21</xdr:col>
      <xdr:colOff>523875</xdr:colOff>
      <xdr:row>11</xdr:row>
      <xdr:rowOff>142875</xdr:rowOff>
    </xdr:to>
    <xdr:sp macro="" textlink="">
      <xdr:nvSpPr>
        <xdr:cNvPr id="17" name="TextBox 16">
          <a:extLst>
            <a:ext uri="{FF2B5EF4-FFF2-40B4-BE49-F238E27FC236}">
              <a16:creationId xmlns:a16="http://schemas.microsoft.com/office/drawing/2014/main" id="{E344F541-9617-EE42-C16A-9805D9DF28FC}"/>
            </a:ext>
          </a:extLst>
        </xdr:cNvPr>
        <xdr:cNvSpPr txBox="1"/>
      </xdr:nvSpPr>
      <xdr:spPr>
        <a:xfrm>
          <a:off x="7210425" y="1752600"/>
          <a:ext cx="6115050" cy="485775"/>
        </a:xfrm>
        <a:prstGeom prst="rect">
          <a:avLst/>
        </a:prstGeom>
        <a:solidFill>
          <a:srgbClr val="E7E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0F172A"/>
              </a:solidFill>
            </a:rPr>
            <a:t>HOSPITAL</a:t>
          </a:r>
          <a:r>
            <a:rPr lang="en-US" sz="2800" b="1" baseline="0">
              <a:solidFill>
                <a:srgbClr val="0F172A"/>
              </a:solidFill>
            </a:rPr>
            <a:t> PERFORMANCE DASHBOARD</a:t>
          </a:r>
          <a:endParaRPr lang="en-US" sz="1100" b="1">
            <a:solidFill>
              <a:srgbClr val="0F172A"/>
            </a:solidFill>
          </a:endParaRPr>
        </a:p>
      </xdr:txBody>
    </xdr:sp>
    <xdr:clientData/>
  </xdr:twoCellAnchor>
  <xdr:twoCellAnchor>
    <xdr:from>
      <xdr:col>8</xdr:col>
      <xdr:colOff>180975</xdr:colOff>
      <xdr:row>9</xdr:row>
      <xdr:rowOff>38100</xdr:rowOff>
    </xdr:from>
    <xdr:to>
      <xdr:col>10</xdr:col>
      <xdr:colOff>607695</xdr:colOff>
      <xdr:row>14</xdr:row>
      <xdr:rowOff>91440</xdr:rowOff>
    </xdr:to>
    <xdr:sp macro="" textlink="#REF!">
      <xdr:nvSpPr>
        <xdr:cNvPr id="18" name="Rectangle: Rounded Corners 17">
          <a:extLst>
            <a:ext uri="{FF2B5EF4-FFF2-40B4-BE49-F238E27FC236}">
              <a16:creationId xmlns:a16="http://schemas.microsoft.com/office/drawing/2014/main" id="{C0A11D73-88B0-0B50-05C5-C25C67136904}"/>
            </a:ext>
          </a:extLst>
        </xdr:cNvPr>
        <xdr:cNvSpPr/>
      </xdr:nvSpPr>
      <xdr:spPr>
        <a:xfrm>
          <a:off x="5057775" y="1752600"/>
          <a:ext cx="1645920" cy="1005840"/>
        </a:xfrm>
        <a:prstGeom prst="roundRect">
          <a:avLst/>
        </a:prstGeom>
        <a:solidFill>
          <a:srgbClr val="1F29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8C51D65-B14E-4768-BFE1-896CA0347770}" type="TxLink">
            <a:rPr lang="en-US" sz="2400" b="1" i="0" u="none" strike="noStrike">
              <a:solidFill>
                <a:srgbClr val="DC2626"/>
              </a:solidFill>
              <a:latin typeface="Calibri"/>
              <a:ea typeface="Calibri"/>
              <a:cs typeface="Calibri"/>
            </a:rPr>
            <a:pPr algn="ctr"/>
            <a:t> </a:t>
          </a:fld>
          <a:endParaRPr lang="en-US" sz="2400" b="1">
            <a:solidFill>
              <a:srgbClr val="DC2626"/>
            </a:solidFill>
          </a:endParaRPr>
        </a:p>
      </xdr:txBody>
    </xdr:sp>
    <xdr:clientData/>
  </xdr:twoCellAnchor>
  <xdr:twoCellAnchor>
    <xdr:from>
      <xdr:col>8</xdr:col>
      <xdr:colOff>285750</xdr:colOff>
      <xdr:row>9</xdr:row>
      <xdr:rowOff>161925</xdr:rowOff>
    </xdr:from>
    <xdr:to>
      <xdr:col>11</xdr:col>
      <xdr:colOff>9525</xdr:colOff>
      <xdr:row>11</xdr:row>
      <xdr:rowOff>104775</xdr:rowOff>
    </xdr:to>
    <xdr:sp macro="" textlink="">
      <xdr:nvSpPr>
        <xdr:cNvPr id="19" name="TextBox 18">
          <a:extLst>
            <a:ext uri="{FF2B5EF4-FFF2-40B4-BE49-F238E27FC236}">
              <a16:creationId xmlns:a16="http://schemas.microsoft.com/office/drawing/2014/main" id="{7B20583D-B78D-BAA9-746A-8D6CDEEE91C4}"/>
            </a:ext>
          </a:extLst>
        </xdr:cNvPr>
        <xdr:cNvSpPr txBox="1"/>
      </xdr:nvSpPr>
      <xdr:spPr>
        <a:xfrm>
          <a:off x="5162550" y="1876425"/>
          <a:ext cx="1552575" cy="323850"/>
        </a:xfrm>
        <a:prstGeom prst="rect">
          <a:avLst/>
        </a:prstGeom>
        <a:solidFill>
          <a:srgbClr val="1F29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E2E8F0"/>
              </a:solidFill>
            </a:rPr>
            <a:t>MORTALITY RATE</a:t>
          </a:r>
        </a:p>
      </xdr:txBody>
    </xdr:sp>
    <xdr:clientData/>
  </xdr:twoCellAnchor>
  <xdr:twoCellAnchor editAs="oneCell">
    <xdr:from>
      <xdr:col>28</xdr:col>
      <xdr:colOff>514350</xdr:colOff>
      <xdr:row>13</xdr:row>
      <xdr:rowOff>123825</xdr:rowOff>
    </xdr:from>
    <xdr:to>
      <xdr:col>31</xdr:col>
      <xdr:colOff>331470</xdr:colOff>
      <xdr:row>23</xdr:row>
      <xdr:rowOff>47625</xdr:rowOff>
    </xdr:to>
    <mc:AlternateContent xmlns:mc="http://schemas.openxmlformats.org/markup-compatibility/2006" xmlns:a14="http://schemas.microsoft.com/office/drawing/2010/main">
      <mc:Choice Requires="a14">
        <xdr:graphicFrame macro="">
          <xdr:nvGraphicFramePr>
            <xdr:cNvPr id="20" name="Department">
              <a:extLst>
                <a:ext uri="{FF2B5EF4-FFF2-40B4-BE49-F238E27FC236}">
                  <a16:creationId xmlns:a16="http://schemas.microsoft.com/office/drawing/2014/main" id="{6AFC96FA-6F67-14E6-3C24-44C89DC3500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7583150" y="2600325"/>
              <a:ext cx="164592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514350</xdr:colOff>
      <xdr:row>8</xdr:row>
      <xdr:rowOff>152400</xdr:rowOff>
    </xdr:from>
    <xdr:to>
      <xdr:col>31</xdr:col>
      <xdr:colOff>331470</xdr:colOff>
      <xdr:row>13</xdr:row>
      <xdr:rowOff>114300</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5330D4BA-257D-0F8E-3BA0-D9C3C139436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583150" y="1676400"/>
              <a:ext cx="16459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514350</xdr:colOff>
      <xdr:row>23</xdr:row>
      <xdr:rowOff>85725</xdr:rowOff>
    </xdr:from>
    <xdr:to>
      <xdr:col>31</xdr:col>
      <xdr:colOff>331470</xdr:colOff>
      <xdr:row>30</xdr:row>
      <xdr:rowOff>152400</xdr:rowOff>
    </xdr:to>
    <mc:AlternateContent xmlns:mc="http://schemas.openxmlformats.org/markup-compatibility/2006" xmlns:a14="http://schemas.microsoft.com/office/drawing/2010/main">
      <mc:Choice Requires="a14">
        <xdr:graphicFrame macro="">
          <xdr:nvGraphicFramePr>
            <xdr:cNvPr id="22" name="Treatment Type">
              <a:extLst>
                <a:ext uri="{FF2B5EF4-FFF2-40B4-BE49-F238E27FC236}">
                  <a16:creationId xmlns:a16="http://schemas.microsoft.com/office/drawing/2014/main" id="{18DAD859-C33B-5FD4-5EEA-7EA8D758AB44}"/>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17583150" y="4467225"/>
              <a:ext cx="1645920"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514350</xdr:colOff>
      <xdr:row>31</xdr:row>
      <xdr:rowOff>0</xdr:rowOff>
    </xdr:from>
    <xdr:to>
      <xdr:col>31</xdr:col>
      <xdr:colOff>331470</xdr:colOff>
      <xdr:row>37</xdr:row>
      <xdr:rowOff>45720</xdr:rowOff>
    </xdr:to>
    <mc:AlternateContent xmlns:mc="http://schemas.openxmlformats.org/markup-compatibility/2006" xmlns:a14="http://schemas.microsoft.com/office/drawing/2010/main">
      <mc:Choice Requires="a14">
        <xdr:graphicFrame macro="">
          <xdr:nvGraphicFramePr>
            <xdr:cNvPr id="23" name="Payment Method">
              <a:extLst>
                <a:ext uri="{FF2B5EF4-FFF2-40B4-BE49-F238E27FC236}">
                  <a16:creationId xmlns:a16="http://schemas.microsoft.com/office/drawing/2014/main" id="{ACE0308A-CF5C-84AF-F9A9-54D5D66027CC}"/>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7583150" y="5905500"/>
              <a:ext cx="164592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514350</xdr:colOff>
      <xdr:row>37</xdr:row>
      <xdr:rowOff>95250</xdr:rowOff>
    </xdr:from>
    <xdr:to>
      <xdr:col>31</xdr:col>
      <xdr:colOff>331470</xdr:colOff>
      <xdr:row>42</xdr:row>
      <xdr:rowOff>57150</xdr:rowOff>
    </xdr:to>
    <mc:AlternateContent xmlns:mc="http://schemas.openxmlformats.org/markup-compatibility/2006" xmlns:a14="http://schemas.microsoft.com/office/drawing/2010/main">
      <mc:Choice Requires="a14">
        <xdr:graphicFrame macro="">
          <xdr:nvGraphicFramePr>
            <xdr:cNvPr id="25" name="Readmission">
              <a:extLst>
                <a:ext uri="{FF2B5EF4-FFF2-40B4-BE49-F238E27FC236}">
                  <a16:creationId xmlns:a16="http://schemas.microsoft.com/office/drawing/2014/main" id="{D16EAD0C-662B-4050-15D5-97C2C6679864}"/>
                </a:ext>
              </a:extLst>
            </xdr:cNvPr>
            <xdr:cNvGraphicFramePr/>
          </xdr:nvGraphicFramePr>
          <xdr:xfrm>
            <a:off x="0" y="0"/>
            <a:ext cx="0" cy="0"/>
          </xdr:xfrm>
          <a:graphic>
            <a:graphicData uri="http://schemas.microsoft.com/office/drawing/2010/slicer">
              <sle:slicer xmlns:sle="http://schemas.microsoft.com/office/drawing/2010/slicer" name="Readmission"/>
            </a:graphicData>
          </a:graphic>
        </xdr:graphicFrame>
      </mc:Choice>
      <mc:Fallback xmlns="">
        <xdr:sp macro="" textlink="">
          <xdr:nvSpPr>
            <xdr:cNvPr id="0" name=""/>
            <xdr:cNvSpPr>
              <a:spLocks noTextEdit="1"/>
            </xdr:cNvSpPr>
          </xdr:nvSpPr>
          <xdr:spPr>
            <a:xfrm>
              <a:off x="17583150" y="7143750"/>
              <a:ext cx="16459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161925</xdr:colOff>
      <xdr:row>9</xdr:row>
      <xdr:rowOff>57149</xdr:rowOff>
    </xdr:from>
    <xdr:to>
      <xdr:col>4</xdr:col>
      <xdr:colOff>588645</xdr:colOff>
      <xdr:row>14</xdr:row>
      <xdr:rowOff>110489</xdr:rowOff>
    </xdr:to>
    <xdr:sp macro="" textlink="ANALYSIS!D33">
      <xdr:nvSpPr>
        <xdr:cNvPr id="26" name="Rectangle: Rounded Corners 25">
          <a:extLst>
            <a:ext uri="{FF2B5EF4-FFF2-40B4-BE49-F238E27FC236}">
              <a16:creationId xmlns:a16="http://schemas.microsoft.com/office/drawing/2014/main" id="{1E2720A6-A2B4-5F37-2164-0C1C21FF752B}"/>
            </a:ext>
          </a:extLst>
        </xdr:cNvPr>
        <xdr:cNvSpPr/>
      </xdr:nvSpPr>
      <xdr:spPr>
        <a:xfrm>
          <a:off x="1381125" y="1771649"/>
          <a:ext cx="1645920" cy="1005840"/>
        </a:xfrm>
        <a:prstGeom prst="round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0E5C5AE-DD20-4398-A69A-648EE6A6DA91}" type="TxLink">
            <a:rPr lang="en-US" sz="2400" b="1" i="0" u="none" strike="noStrike">
              <a:solidFill>
                <a:srgbClr val="E2E8F0"/>
              </a:solidFill>
              <a:latin typeface="Calibri"/>
              <a:ea typeface="Calibri"/>
              <a:cs typeface="Calibri"/>
            </a:rPr>
            <a:pPr algn="ctr"/>
            <a:t>15</a:t>
          </a:fld>
          <a:endParaRPr lang="en-US" sz="2400" b="1">
            <a:solidFill>
              <a:srgbClr val="E2E8F0"/>
            </a:solidFill>
          </a:endParaRPr>
        </a:p>
      </xdr:txBody>
    </xdr:sp>
    <xdr:clientData/>
  </xdr:twoCellAnchor>
  <xdr:twoCellAnchor>
    <xdr:from>
      <xdr:col>2</xdr:col>
      <xdr:colOff>247651</xdr:colOff>
      <xdr:row>10</xdr:row>
      <xdr:rowOff>9525</xdr:rowOff>
    </xdr:from>
    <xdr:to>
      <xdr:col>4</xdr:col>
      <xdr:colOff>561975</xdr:colOff>
      <xdr:row>11</xdr:row>
      <xdr:rowOff>171450</xdr:rowOff>
    </xdr:to>
    <xdr:sp macro="" textlink="">
      <xdr:nvSpPr>
        <xdr:cNvPr id="27" name="TextBox 26">
          <a:extLst>
            <a:ext uri="{FF2B5EF4-FFF2-40B4-BE49-F238E27FC236}">
              <a16:creationId xmlns:a16="http://schemas.microsoft.com/office/drawing/2014/main" id="{9DE26A13-2533-4895-ECD3-B4FAD0EB0D40}"/>
            </a:ext>
          </a:extLst>
        </xdr:cNvPr>
        <xdr:cNvSpPr txBox="1"/>
      </xdr:nvSpPr>
      <xdr:spPr>
        <a:xfrm>
          <a:off x="1466851" y="1914525"/>
          <a:ext cx="1533524" cy="352425"/>
        </a:xfrm>
        <a:prstGeom prst="rect">
          <a:avLst/>
        </a:prstGeom>
        <a:solidFill>
          <a:srgbClr val="0F172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CBD5E1"/>
              </a:solidFill>
            </a:rPr>
            <a:t>TOTAL PATIENTS</a:t>
          </a:r>
        </a:p>
      </xdr:txBody>
    </xdr:sp>
    <xdr:clientData/>
  </xdr:twoCellAnchor>
  <xdr:twoCellAnchor>
    <xdr:from>
      <xdr:col>25</xdr:col>
      <xdr:colOff>228600</xdr:colOff>
      <xdr:row>9</xdr:row>
      <xdr:rowOff>19049</xdr:rowOff>
    </xdr:from>
    <xdr:to>
      <xdr:col>28</xdr:col>
      <xdr:colOff>45720</xdr:colOff>
      <xdr:row>14</xdr:row>
      <xdr:rowOff>72389</xdr:rowOff>
    </xdr:to>
    <xdr:sp macro="" textlink="ANALYSIS!O33">
      <xdr:nvSpPr>
        <xdr:cNvPr id="28" name="Rectangle: Rounded Corners 27">
          <a:extLst>
            <a:ext uri="{FF2B5EF4-FFF2-40B4-BE49-F238E27FC236}">
              <a16:creationId xmlns:a16="http://schemas.microsoft.com/office/drawing/2014/main" id="{F71DAA45-F335-93C9-46C8-13E8FC886C98}"/>
            </a:ext>
          </a:extLst>
        </xdr:cNvPr>
        <xdr:cNvSpPr/>
      </xdr:nvSpPr>
      <xdr:spPr>
        <a:xfrm>
          <a:off x="15468600" y="1733549"/>
          <a:ext cx="1645920" cy="1005840"/>
        </a:xfrm>
        <a:prstGeom prst="roundRect">
          <a:avLst/>
        </a:prstGeom>
        <a:solidFill>
          <a:srgbClr val="1F29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5707374-8F96-487B-9D78-F57478A578D8}" type="TxLink">
            <a:rPr lang="en-US" sz="2800" b="1" i="0" u="none" strike="noStrike">
              <a:solidFill>
                <a:srgbClr val="E2E8F0"/>
              </a:solidFill>
              <a:latin typeface="Calibri"/>
              <a:ea typeface="Calibri"/>
              <a:cs typeface="Calibri"/>
            </a:rPr>
            <a:pPr algn="ctr"/>
            <a:t>5.6</a:t>
          </a:fld>
          <a:endParaRPr lang="en-US" sz="2800" b="1">
            <a:solidFill>
              <a:srgbClr val="E2E8F0"/>
            </a:solidFill>
          </a:endParaRPr>
        </a:p>
      </xdr:txBody>
    </xdr:sp>
    <xdr:clientData/>
  </xdr:twoCellAnchor>
  <xdr:twoCellAnchor>
    <xdr:from>
      <xdr:col>25</xdr:col>
      <xdr:colOff>276225</xdr:colOff>
      <xdr:row>9</xdr:row>
      <xdr:rowOff>104775</xdr:rowOff>
    </xdr:from>
    <xdr:to>
      <xdr:col>27</xdr:col>
      <xdr:colOff>600074</xdr:colOff>
      <xdr:row>11</xdr:row>
      <xdr:rowOff>104775</xdr:rowOff>
    </xdr:to>
    <xdr:sp macro="" textlink="">
      <xdr:nvSpPr>
        <xdr:cNvPr id="29" name="TextBox 28">
          <a:extLst>
            <a:ext uri="{FF2B5EF4-FFF2-40B4-BE49-F238E27FC236}">
              <a16:creationId xmlns:a16="http://schemas.microsoft.com/office/drawing/2014/main" id="{0A6F6441-6421-2247-3F45-0A71B55D7326}"/>
            </a:ext>
          </a:extLst>
        </xdr:cNvPr>
        <xdr:cNvSpPr txBox="1"/>
      </xdr:nvSpPr>
      <xdr:spPr>
        <a:xfrm>
          <a:off x="15516225" y="1819275"/>
          <a:ext cx="1543049" cy="381000"/>
        </a:xfrm>
        <a:prstGeom prst="rect">
          <a:avLst/>
        </a:prstGeom>
        <a:solidFill>
          <a:srgbClr val="1F29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E2E8F0"/>
              </a:solidFill>
            </a:rPr>
            <a:t>AVG</a:t>
          </a:r>
          <a:r>
            <a:rPr lang="en-US" sz="1100" b="1" baseline="0">
              <a:solidFill>
                <a:srgbClr val="E2E8F0"/>
              </a:solidFill>
            </a:rPr>
            <a:t> LENGTH OF STAY</a:t>
          </a:r>
          <a:endParaRPr lang="en-US" sz="1100" b="1">
            <a:solidFill>
              <a:srgbClr val="E2E8F0"/>
            </a:solidFill>
          </a:endParaRPr>
        </a:p>
      </xdr:txBody>
    </xdr:sp>
    <xdr:clientData/>
  </xdr:twoCellAnchor>
  <xdr:twoCellAnchor>
    <xdr:from>
      <xdr:col>20</xdr:col>
      <xdr:colOff>485775</xdr:colOff>
      <xdr:row>31</xdr:row>
      <xdr:rowOff>9525</xdr:rowOff>
    </xdr:from>
    <xdr:to>
      <xdr:col>26</xdr:col>
      <xdr:colOff>485775</xdr:colOff>
      <xdr:row>46</xdr:row>
      <xdr:rowOff>78105</xdr:rowOff>
    </xdr:to>
    <xdr:graphicFrame macro="">
      <xdr:nvGraphicFramePr>
        <xdr:cNvPr id="32" name="Chart 31">
          <a:extLst>
            <a:ext uri="{FF2B5EF4-FFF2-40B4-BE49-F238E27FC236}">
              <a16:creationId xmlns:a16="http://schemas.microsoft.com/office/drawing/2014/main" id="{3496E992-BA7F-4A5D-A9FD-0D6240FBA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kikiola" refreshedDate="46005.918291203707" backgroundQuery="1" createdVersion="8" refreshedVersion="8" minRefreshableVersion="3" recordCount="0" supportSubquery="1" supportAdvancedDrill="1" xr:uid="{35F6AB96-FAD0-49BC-8678-648E92F6B2B0}">
  <cacheSource type="external" connectionId="1"/>
  <cacheFields count="2">
    <cacheField name="[Hospital].[Insurance Status].[Insurance Status]" caption="Insurance Status" numFmtId="0" hierarchy="12" level="1">
      <sharedItems count="2">
        <s v="Insured"/>
        <s v="Not Insured"/>
      </sharedItems>
    </cacheField>
    <cacheField name="[Measures].[Average of Total Bill Amount]" caption="Average of Total Bill Amount" numFmtId="0" hierarchy="23" level="32767"/>
  </cacheFields>
  <cacheHierarchies count="25">
    <cacheHierarchy uniqueName="[Hospital].[Patient ID]" caption="Patient ID" attribute="1" defaultMemberUniqueName="[Hospital].[Patient ID].[All]" allUniqueName="[Hospital].[Patient ID].[All]" dimensionUniqueName="[Hospital]" displayFolder="" count="2" memberValueDatatype="130" unbalanced="0"/>
    <cacheHierarchy uniqueName="[Hospital].[Age]" caption="Age" attribute="1" defaultMemberUniqueName="[Hospital].[Age].[All]" allUniqueName="[Hospital].[Age].[All]" dimensionUniqueName="[Hospital]" displayFolder="" count="2" memberValueDatatype="20" unbalanced="0"/>
    <cacheHierarchy uniqueName="[Hospital].[Gender]" caption="Gender" attribute="1" defaultMemberUniqueName="[Hospital].[Gender].[All]" allUniqueName="[Hospital].[Gender].[All]" dimensionUniqueName="[Hospital]" displayFolder="" count="2" memberValueDatatype="130" unbalanced="0"/>
    <cacheHierarchy uniqueName="[Hospital].[Admission Date]" caption="Admission Date" attribute="1" time="1" defaultMemberUniqueName="[Hospital].[Admission Date].[All]" allUniqueName="[Hospital].[Admission Date].[All]" dimensionUniqueName="[Hospital]" displayFolder="" count="2" memberValueDatatype="7" unbalanced="0"/>
    <cacheHierarchy uniqueName="[Hospital].[Discharge Date]" caption="Discharge Date" attribute="1" time="1" defaultMemberUniqueName="[Hospital].[Discharge Date].[All]" allUniqueName="[Hospital].[Discharge Date].[All]" dimensionUniqueName="[Hospital]" displayFolder="" count="2" memberValueDatatype="7" unbalanced="0"/>
    <cacheHierarchy uniqueName="[Hospital].[Department]" caption="Department" attribute="1" defaultMemberUniqueName="[Hospital].[Department].[All]" allUniqueName="[Hospital].[Department].[All]" dimensionUniqueName="[Hospital]" displayFolder="" count="2" memberValueDatatype="130" unbalanced="0"/>
    <cacheHierarchy uniqueName="[Hospital].[Diagnosis]" caption="Diagnosis" attribute="1" defaultMemberUniqueName="[Hospital].[Diagnosis].[All]" allUniqueName="[Hospital].[Diagnosis].[All]" dimensionUniqueName="[Hospital]" displayFolder="" count="2" memberValueDatatype="130" unbalanced="0"/>
    <cacheHierarchy uniqueName="[Hospital].[Treatment Type]" caption="Treatment Type" attribute="1" defaultMemberUniqueName="[Hospital].[Treatment Type].[All]" allUniqueName="[Hospital].[Treatment Type].[All]" dimensionUniqueName="[Hospital]" displayFolder="" count="2" memberValueDatatype="130" unbalanced="0"/>
    <cacheHierarchy uniqueName="[Hospital].[Length of Stay]" caption="Length of Stay" attribute="1" defaultMemberUniqueName="[Hospital].[Length of Stay].[All]" allUniqueName="[Hospital].[Length of Stay].[All]" dimensionUniqueName="[Hospital]" displayFolder="" count="2" memberValueDatatype="20" unbalanced="0"/>
    <cacheHierarchy uniqueName="[Hospital].[Total Bill Amount]" caption="Total Bill Amount" attribute="1" defaultMemberUniqueName="[Hospital].[Total Bill Amount].[All]" allUniqueName="[Hospital].[Total Bill Amount].[All]" dimensionUniqueName="[Hospital]" displayFolder="" count="2" memberValueDatatype="20" unbalanced="0"/>
    <cacheHierarchy uniqueName="[Hospital].[Payment Method]" caption="Payment Method" attribute="1" defaultMemberUniqueName="[Hospital].[Payment Method].[All]" allUniqueName="[Hospital].[Payment Method].[All]" dimensionUniqueName="[Hospital]" displayFolder="" count="2" memberValueDatatype="130" unbalanced="0"/>
    <cacheHierarchy uniqueName="[Hospital].[Insurance Provider]" caption="Insurance Provider" attribute="1" defaultMemberUniqueName="[Hospital].[Insurance Provider].[All]" allUniqueName="[Hospital].[Insurance Provider].[All]" dimensionUniqueName="[Hospital]" displayFolder="" count="2" memberValueDatatype="130" unbalanced="0"/>
    <cacheHierarchy uniqueName="[Hospital].[Insurance Status]" caption="Insurance Status" attribute="1" defaultMemberUniqueName="[Hospital].[Insurance Status].[All]" allUniqueName="[Hospital].[Insurance Status].[All]" dimensionUniqueName="[Hospital]" displayFolder="" count="2" memberValueDatatype="130" unbalanced="0">
      <fieldsUsage count="2">
        <fieldUsage x="-1"/>
        <fieldUsage x="0"/>
      </fieldsUsage>
    </cacheHierarchy>
    <cacheHierarchy uniqueName="[Hospital].[Satisfaction Score]" caption="Satisfaction Score" attribute="1" defaultMemberUniqueName="[Hospital].[Satisfaction Score].[All]" allUniqueName="[Hospital].[Satisfaction Score].[All]" dimensionUniqueName="[Hospital]" displayFolder="" count="2" memberValueDatatype="20" unbalanced="0"/>
    <cacheHierarchy uniqueName="[Hospital].[Readmission]" caption="Readmission" attribute="1" defaultMemberUniqueName="[Hospital].[Readmission].[All]" allUniqueName="[Hospital].[Readmission].[All]" dimensionUniqueName="[Hospital]" displayFolder="" count="2" memberValueDatatype="130" unbalanced="0"/>
    <cacheHierarchy uniqueName="[Hospital].[Emergency Admission]" caption="Emergency Admission" attribute="1" defaultMemberUniqueName="[Hospital].[Emergency Admission].[All]" allUniqueName="[Hospital].[Emergency Admission].[All]" dimensionUniqueName="[Hospital]" displayFolder="" count="2" memberValueDatatype="130" unbalanced="0"/>
    <cacheHierarchy uniqueName="[Hospital].[Mortality Status]" caption="Mortality Status" attribute="1" defaultMemberUniqueName="[Hospital].[Mortality Status].[All]" allUniqueName="[Hospital].[Mortality Status].[All]" dimensionUniqueName="[Hospital]" displayFolder="" count="2"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Measures].[__XL_Count Hospital]" caption="__XL_Count Hospital" measure="1" displayFolder="" measureGroup="Hospital"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0"/>
        </ext>
      </extLst>
    </cacheHierarchy>
    <cacheHierarchy uniqueName="[Measures].[Sum of Total Bill Amount]" caption="Sum of Total Bill Amount" measure="1" displayFolder="" measureGroup="Hospital" count="0" hidden="1">
      <extLst>
        <ext xmlns:x15="http://schemas.microsoft.com/office/spreadsheetml/2010/11/main" uri="{B97F6D7D-B522-45F9-BDA1-12C45D357490}">
          <x15:cacheHierarchy aggregatedColumn="9"/>
        </ext>
      </extLst>
    </cacheHierarchy>
    <cacheHierarchy uniqueName="[Measures].[Average of Total Bill Amount]" caption="Average of Total Bill Amount" measure="1" displayFolder="" measureGroup="Hospital"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ge]" caption="Sum of Age" measure="1" displayFolder="" measureGroup="Hospital" count="0" hidden="1">
      <extLst>
        <ext xmlns:x15="http://schemas.microsoft.com/office/spreadsheetml/2010/11/main" uri="{B97F6D7D-B522-45F9-BDA1-12C45D357490}">
          <x15:cacheHierarchy aggregatedColumn="1"/>
        </ext>
      </extLst>
    </cacheHierarchy>
  </cacheHierarchies>
  <kpis count="0"/>
  <dimensions count="3">
    <dimension name="Hospital" uniqueName="[Hospital]" caption="Hospital"/>
    <dimension measure="1" name="Measures" uniqueName="[Measures]" caption="Measures"/>
    <dimension name="Range" uniqueName="[Range]" caption="Range"/>
  </dimensions>
  <measureGroups count="2">
    <measureGroup name="Hospital" caption="Hospital"/>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kikiola" refreshedDate="46037.752234490741" createdVersion="8" refreshedVersion="8" minRefreshableVersion="3" recordCount="15" xr:uid="{4ECB0D7F-5BDB-4B68-91E7-9490E28B8F67}">
  <cacheSource type="worksheet">
    <worksheetSource name="Table2"/>
  </cacheSource>
  <cacheFields count="18">
    <cacheField name="Patient ID" numFmtId="0">
      <sharedItems count="15">
        <s v="P0001"/>
        <s v="P0002"/>
        <s v="P0003"/>
        <s v="P0004"/>
        <s v="P0005"/>
        <s v="P0006"/>
        <s v="P0007"/>
        <s v="P0008"/>
        <s v="P0009"/>
        <s v="P0010"/>
        <s v="P0011"/>
        <s v="P0012"/>
        <s v="P0013"/>
        <s v="P0014"/>
        <s v="P0015"/>
      </sharedItems>
    </cacheField>
    <cacheField name="Age" numFmtId="0">
      <sharedItems containsSemiMixedTypes="0" containsString="0" containsNumber="1" containsInteger="1" minValue="18" maxValue="80" count="15">
        <n v="25"/>
        <n v="60"/>
        <n v="34"/>
        <n v="45"/>
        <n v="18"/>
        <n v="72"/>
        <n v="29"/>
        <n v="52"/>
        <n v="40"/>
        <n v="37"/>
        <n v="65"/>
        <n v="80"/>
        <n v="48"/>
        <n v="33"/>
        <n v="55"/>
      </sharedItems>
    </cacheField>
    <cacheField name="Age Group" numFmtId="0">
      <sharedItems count="6">
        <s v="18-25"/>
        <s v="56-65"/>
        <s v="26-35"/>
        <s v="36-45"/>
        <s v="66-80"/>
        <s v="46-55"/>
      </sharedItems>
    </cacheField>
    <cacheField name="Gender" numFmtId="0">
      <sharedItems count="2">
        <s v="Female"/>
        <s v="Male"/>
      </sharedItems>
    </cacheField>
    <cacheField name="Admission Date" numFmtId="14">
      <sharedItems containsSemiMixedTypes="0" containsNonDate="0" containsDate="1" containsString="0" minDate="2024-01-10T00:00:00" maxDate="2024-12-11T00:00:00"/>
    </cacheField>
    <cacheField name="Discharge Date" numFmtId="14">
      <sharedItems containsSemiMixedTypes="0" containsNonDate="0" containsDate="1" containsString="0" minDate="2024-01-12T00:00:00" maxDate="2024-12-16T00:00:00"/>
    </cacheField>
    <cacheField name="Department" numFmtId="0">
      <sharedItems/>
    </cacheField>
    <cacheField name="Diagnosis" numFmtId="0">
      <sharedItems/>
    </cacheField>
    <cacheField name="Treatment Type" numFmtId="0">
      <sharedItems/>
    </cacheField>
    <cacheField name="Length of Stay" numFmtId="0">
      <sharedItems containsSemiMixedTypes="0" containsString="0" containsNumber="1" containsInteger="1" minValue="2" maxValue="15"/>
    </cacheField>
    <cacheField name="Total Bill Amount" numFmtId="42">
      <sharedItems containsSemiMixedTypes="0" containsString="0" containsNumber="1" containsInteger="1" minValue="300" maxValue="25000"/>
    </cacheField>
    <cacheField name="Payment Method" numFmtId="0">
      <sharedItems/>
    </cacheField>
    <cacheField name="Insurance Provider" numFmtId="0">
      <sharedItems/>
    </cacheField>
    <cacheField name="Insurance Status" numFmtId="0">
      <sharedItems/>
    </cacheField>
    <cacheField name="Satisfaction Score" numFmtId="0">
      <sharedItems containsSemiMixedTypes="0" containsString="0" containsNumber="1" containsInteger="1" minValue="5" maxValue="10"/>
    </cacheField>
    <cacheField name="Readmission" numFmtId="0">
      <sharedItems/>
    </cacheField>
    <cacheField name="Emergency Admission" numFmtId="0">
      <sharedItems/>
    </cacheField>
    <cacheField name="Mortality Status" numFmtId="0">
      <sharedItems count="2">
        <s v="Survived"/>
        <s v="Deceased"/>
      </sharedItems>
    </cacheField>
  </cacheFields>
  <extLst>
    <ext xmlns:x14="http://schemas.microsoft.com/office/spreadsheetml/2009/9/main" uri="{725AE2AE-9491-48be-B2B4-4EB974FC3084}">
      <x14:pivotCacheDefinition pivotCacheId="104080175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kikiola" refreshedDate="46037.856925578701" createdVersion="8" refreshedVersion="8" minRefreshableVersion="3" recordCount="15" xr:uid="{95EC10D1-1F28-4C12-951E-1DFD2508A1F9}">
  <cacheSource type="worksheet">
    <worksheetSource ref="A1:R16" sheet="source Data"/>
  </cacheSource>
  <cacheFields count="22">
    <cacheField name="Patient ID" numFmtId="0">
      <sharedItems/>
    </cacheField>
    <cacheField name="Age" numFmtId="0">
      <sharedItems containsSemiMixedTypes="0" containsString="0" containsNumber="1" containsInteger="1" minValue="18" maxValue="80" count="15">
        <n v="25"/>
        <n v="60"/>
        <n v="34"/>
        <n v="45"/>
        <n v="18"/>
        <n v="72"/>
        <n v="29"/>
        <n v="52"/>
        <n v="40"/>
        <n v="37"/>
        <n v="65"/>
        <n v="80"/>
        <n v="48"/>
        <n v="33"/>
        <n v="55"/>
      </sharedItems>
      <fieldGroup base="1">
        <rangePr startNum="18" endNum="80" groupInterval="10"/>
        <groupItems count="9">
          <s v="&lt;18"/>
          <s v="18-27"/>
          <s v="28-37"/>
          <s v="38-47"/>
          <s v="48-57"/>
          <s v="58-67"/>
          <s v="68-77"/>
          <s v="78-87"/>
          <s v="&gt;88"/>
        </groupItems>
      </fieldGroup>
    </cacheField>
    <cacheField name="Age Group" numFmtId="0">
      <sharedItems/>
    </cacheField>
    <cacheField name="Gender" numFmtId="0">
      <sharedItems count="2">
        <s v="Female"/>
        <s v="Male"/>
      </sharedItems>
    </cacheField>
    <cacheField name="Admission Date" numFmtId="14">
      <sharedItems containsSemiMixedTypes="0" containsNonDate="0" containsDate="1" containsString="0" minDate="2024-01-10T00:00:00" maxDate="2024-12-11T00:00:00" count="15">
        <d v="2024-01-10T00:00:00"/>
        <d v="2024-02-05T00:00:00"/>
        <d v="2024-03-20T00:00:00"/>
        <d v="2024-04-01T00:00:00"/>
        <d v="2024-05-14T00:00:00"/>
        <d v="2024-06-10T00:00:00"/>
        <d v="2024-07-22T00:00:00"/>
        <d v="2024-08-15T00:00:00"/>
        <d v="2024-09-05T00:00:00"/>
        <d v="2024-10-01T00:00:00"/>
        <d v="2024-10-15T00:00:00"/>
        <d v="2024-11-05T00:00:00"/>
        <d v="2024-11-20T00:00:00"/>
        <d v="2024-12-01T00:00:00"/>
        <d v="2024-12-10T00:00:00"/>
      </sharedItems>
      <fieldGroup par="19"/>
    </cacheField>
    <cacheField name="Discharge Date" numFmtId="14">
      <sharedItems containsSemiMixedTypes="0" containsNonDate="0" containsDate="1" containsString="0" minDate="2024-01-12T00:00:00" maxDate="2024-12-16T00:00:00" count="15">
        <d v="2024-01-12T00:00:00"/>
        <d v="2024-02-15T00:00:00"/>
        <d v="2024-03-24T00:00:00"/>
        <d v="2024-04-05T00:00:00"/>
        <d v="2024-05-20T00:00:00"/>
        <d v="2024-06-15T00:00:00"/>
        <d v="2024-07-27T00:00:00"/>
        <d v="2024-08-20T00:00:00"/>
        <d v="2024-09-10T00:00:00"/>
        <d v="2024-10-03T00:00:00"/>
        <d v="2024-10-30T00:00:00"/>
        <d v="2024-11-12T00:00:00"/>
        <d v="2024-11-25T00:00:00"/>
        <d v="2024-12-05T00:00:00"/>
        <d v="2024-12-15T00:00:00"/>
      </sharedItems>
      <fieldGroup par="21"/>
    </cacheField>
    <cacheField name="Department" numFmtId="0">
      <sharedItems count="7">
        <s v="Orthopedics"/>
        <s v="Cardiology"/>
        <s v="Neurology"/>
        <s v="Pediatrics"/>
        <s v="Gynecology"/>
        <s v="Oncology"/>
        <s v="Geriatrics"/>
      </sharedItems>
    </cacheField>
    <cacheField name="Diagnosis" numFmtId="0">
      <sharedItems count="13">
        <s v="Fracture"/>
        <s v="Hypertension"/>
        <s v="Migraine"/>
        <s v="Arrhythmia"/>
        <s v="Asthma"/>
        <s v="Stroke"/>
        <s v="Dislocation"/>
        <s v="Heart Attack"/>
        <s v="Epilepsy"/>
        <s v="Pregnancy"/>
        <s v="Cancer"/>
        <s v="Pneumonia"/>
        <s v="Angina"/>
      </sharedItems>
    </cacheField>
    <cacheField name="Treatment Type" numFmtId="0">
      <sharedItems count="5">
        <s v="Therapy"/>
        <s v="Medication"/>
        <s v="Observation"/>
        <s v="Surgery"/>
        <s v="Chemotherapy"/>
      </sharedItems>
    </cacheField>
    <cacheField name="Length of Stay" numFmtId="0">
      <sharedItems containsSemiMixedTypes="0" containsString="0" containsNumber="1" containsInteger="1" minValue="2" maxValue="15"/>
    </cacheField>
    <cacheField name="Total Bill Amount" numFmtId="42">
      <sharedItems containsSemiMixedTypes="0" containsString="0" containsNumber="1" containsInteger="1" minValue="300" maxValue="25000"/>
    </cacheField>
    <cacheField name="Payment Method" numFmtId="0">
      <sharedItems count="3">
        <s v="Credit Card"/>
        <s v="Insurance"/>
        <s v="Cash"/>
      </sharedItems>
    </cacheField>
    <cacheField name="Insurance Provider" numFmtId="0">
      <sharedItems/>
    </cacheField>
    <cacheField name="Insurance Status" numFmtId="0">
      <sharedItems/>
    </cacheField>
    <cacheField name="Satisfaction Score" numFmtId="0">
      <sharedItems containsSemiMixedTypes="0" containsString="0" containsNumber="1" containsInteger="1" minValue="5" maxValue="10"/>
    </cacheField>
    <cacheField name="Readmission" numFmtId="0">
      <sharedItems count="2">
        <s v="No"/>
        <s v="Yes"/>
      </sharedItems>
    </cacheField>
    <cacheField name="Emergency Admission" numFmtId="0">
      <sharedItems count="2">
        <s v="No"/>
        <s v="Yes"/>
      </sharedItems>
    </cacheField>
    <cacheField name="Mortality Status" numFmtId="0">
      <sharedItems count="2">
        <s v="Survived"/>
        <s v="Deceased"/>
      </sharedItems>
    </cacheField>
    <cacheField name="Days (Admission Date)" numFmtId="0" databaseField="0">
      <fieldGroup base="4">
        <rangePr groupBy="days" startDate="2024-01-10T00:00:00" endDate="2024-12-11T00:00:00"/>
        <groupItems count="368">
          <s v="&lt;1/10/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1/2024"/>
        </groupItems>
      </fieldGroup>
    </cacheField>
    <cacheField name="Months (Admission Date)" numFmtId="0" databaseField="0">
      <fieldGroup base="4">
        <rangePr groupBy="months" startDate="2024-01-10T00:00:00" endDate="2024-12-11T00:00:00"/>
        <groupItems count="14">
          <s v="&lt;1/10/2024"/>
          <s v="Jan"/>
          <s v="Feb"/>
          <s v="Mar"/>
          <s v="Apr"/>
          <s v="May"/>
          <s v="Jun"/>
          <s v="Jul"/>
          <s v="Aug"/>
          <s v="Sep"/>
          <s v="Oct"/>
          <s v="Nov"/>
          <s v="Dec"/>
          <s v="&gt;12/11/2024"/>
        </groupItems>
      </fieldGroup>
    </cacheField>
    <cacheField name="Days (Discharge Date)" numFmtId="0" databaseField="0">
      <fieldGroup base="5">
        <rangePr groupBy="days" startDate="2024-01-12T00:00:00" endDate="2024-12-16T00:00:00"/>
        <groupItems count="368">
          <s v="&lt;1/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6/2024"/>
        </groupItems>
      </fieldGroup>
    </cacheField>
    <cacheField name="Months (Discharge Date)" numFmtId="0" databaseField="0">
      <fieldGroup base="5">
        <rangePr groupBy="months" startDate="2024-01-12T00:00:00" endDate="2024-12-16T00:00:00"/>
        <groupItems count="14">
          <s v="&lt;1/12/2024"/>
          <s v="Jan"/>
          <s v="Feb"/>
          <s v="Mar"/>
          <s v="Apr"/>
          <s v="May"/>
          <s v="Jun"/>
          <s v="Jul"/>
          <s v="Aug"/>
          <s v="Sep"/>
          <s v="Oct"/>
          <s v="Nov"/>
          <s v="Dec"/>
          <s v="&gt;12/16/2024"/>
        </groupItems>
      </fieldGroup>
    </cacheField>
  </cacheFields>
  <extLst>
    <ext xmlns:x14="http://schemas.microsoft.com/office/spreadsheetml/2009/9/main" uri="{725AE2AE-9491-48be-B2B4-4EB974FC3084}">
      <x14:pivotCacheDefinition pivotCacheId="2127515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d v="2024-01-10T00:00:00"/>
    <d v="2024-01-12T00:00:00"/>
    <s v="Orthopedics"/>
    <s v="Fracture"/>
    <s v="Therapy"/>
    <n v="2"/>
    <n v="450"/>
    <s v="Credit Card"/>
    <s v="None"/>
    <s v="Not Insured"/>
    <n v="8"/>
    <s v="No"/>
    <s v="No"/>
    <x v="0"/>
  </r>
  <r>
    <x v="1"/>
    <x v="1"/>
    <x v="1"/>
    <x v="1"/>
    <d v="2024-02-05T00:00:00"/>
    <d v="2024-02-15T00:00:00"/>
    <s v="Cardiology"/>
    <s v="Hypertension"/>
    <s v="Medication"/>
    <n v="10"/>
    <n v="2100"/>
    <s v="Insurance"/>
    <s v="Aetna"/>
    <s v="Insured"/>
    <n v="7"/>
    <s v="Yes"/>
    <s v="No"/>
    <x v="0"/>
  </r>
  <r>
    <x v="2"/>
    <x v="2"/>
    <x v="2"/>
    <x v="0"/>
    <d v="2024-03-20T00:00:00"/>
    <d v="2024-03-24T00:00:00"/>
    <s v="Neurology"/>
    <s v="Migraine"/>
    <s v="Observation"/>
    <n v="4"/>
    <n v="700"/>
    <s v="Cash"/>
    <s v="None"/>
    <s v="Not Insured"/>
    <n v="9"/>
    <s v="No"/>
    <s v="Yes"/>
    <x v="0"/>
  </r>
  <r>
    <x v="3"/>
    <x v="3"/>
    <x v="3"/>
    <x v="1"/>
    <d v="2024-04-01T00:00:00"/>
    <d v="2024-04-05T00:00:00"/>
    <s v="Cardiology"/>
    <s v="Arrhythmia"/>
    <s v="Surgery"/>
    <n v="4"/>
    <n v="8000"/>
    <s v="Insurance"/>
    <s v="Blue Cross"/>
    <s v="Insured"/>
    <n v="6"/>
    <s v="No"/>
    <s v="No"/>
    <x v="0"/>
  </r>
  <r>
    <x v="4"/>
    <x v="4"/>
    <x v="0"/>
    <x v="0"/>
    <d v="2024-05-14T00:00:00"/>
    <d v="2024-05-20T00:00:00"/>
    <s v="Pediatrics"/>
    <s v="Asthma"/>
    <s v="Medication"/>
    <n v="6"/>
    <n v="1100"/>
    <s v="Cash"/>
    <s v="None"/>
    <s v="Not Insured"/>
    <n v="10"/>
    <s v="No"/>
    <s v="Yes"/>
    <x v="0"/>
  </r>
  <r>
    <x v="5"/>
    <x v="5"/>
    <x v="4"/>
    <x v="1"/>
    <d v="2024-06-10T00:00:00"/>
    <d v="2024-06-15T00:00:00"/>
    <s v="Neurology"/>
    <s v="Stroke"/>
    <s v="Surgery"/>
    <n v="5"/>
    <n v="12000"/>
    <s v="Insurance"/>
    <s v="Aetna"/>
    <s v="Insured"/>
    <n v="8"/>
    <s v="Yes"/>
    <s v="No"/>
    <x v="1"/>
  </r>
  <r>
    <x v="6"/>
    <x v="6"/>
    <x v="2"/>
    <x v="1"/>
    <d v="2024-07-22T00:00:00"/>
    <d v="2024-07-27T00:00:00"/>
    <s v="Orthopedics"/>
    <s v="Dislocation"/>
    <s v="Therapy"/>
    <n v="5"/>
    <n v="900"/>
    <s v="Credit Card"/>
    <s v="None"/>
    <s v="Not Insured"/>
    <n v="9"/>
    <s v="No"/>
    <s v="No"/>
    <x v="0"/>
  </r>
  <r>
    <x v="7"/>
    <x v="7"/>
    <x v="5"/>
    <x v="0"/>
    <d v="2024-08-15T00:00:00"/>
    <d v="2024-08-20T00:00:00"/>
    <s v="Cardiology"/>
    <s v="Heart Attack"/>
    <s v="Surgery"/>
    <n v="5"/>
    <n v="15000"/>
    <s v="Insurance"/>
    <s v="Cigna"/>
    <s v="Insured"/>
    <n v="7"/>
    <s v="No"/>
    <s v="Yes"/>
    <x v="0"/>
  </r>
  <r>
    <x v="8"/>
    <x v="8"/>
    <x v="3"/>
    <x v="1"/>
    <d v="2024-09-05T00:00:00"/>
    <d v="2024-09-10T00:00:00"/>
    <s v="Neurology"/>
    <s v="Epilepsy"/>
    <s v="Medication"/>
    <n v="5"/>
    <n v="500"/>
    <s v="Cash"/>
    <s v="None"/>
    <s v="Not Insured"/>
    <n v="9"/>
    <s v="No"/>
    <s v="No"/>
    <x v="0"/>
  </r>
  <r>
    <x v="9"/>
    <x v="9"/>
    <x v="3"/>
    <x v="0"/>
    <d v="2024-10-01T00:00:00"/>
    <d v="2024-10-03T00:00:00"/>
    <s v="Gynecology"/>
    <s v="Pregnancy"/>
    <s v="Observation"/>
    <n v="2"/>
    <n v="300"/>
    <s v="Credit Card"/>
    <s v="None"/>
    <s v="Not Insured"/>
    <n v="10"/>
    <s v="No"/>
    <s v="No"/>
    <x v="0"/>
  </r>
  <r>
    <x v="10"/>
    <x v="10"/>
    <x v="1"/>
    <x v="1"/>
    <d v="2024-10-15T00:00:00"/>
    <d v="2024-10-30T00:00:00"/>
    <s v="Oncology"/>
    <s v="Cancer"/>
    <s v="Chemotherapy"/>
    <n v="15"/>
    <n v="25000"/>
    <s v="Insurance"/>
    <s v="Aetna"/>
    <s v="Insured"/>
    <n v="6"/>
    <s v="Yes"/>
    <s v="No"/>
    <x v="0"/>
  </r>
  <r>
    <x v="11"/>
    <x v="11"/>
    <x v="4"/>
    <x v="0"/>
    <d v="2024-11-05T00:00:00"/>
    <d v="2024-11-12T00:00:00"/>
    <s v="Geriatrics"/>
    <s v="Pneumonia"/>
    <s v="Medication"/>
    <n v="7"/>
    <n v="3000"/>
    <s v="Insurance"/>
    <s v="Blue Cross"/>
    <s v="Insured"/>
    <n v="5"/>
    <s v="Yes"/>
    <s v="Yes"/>
    <x v="1"/>
  </r>
  <r>
    <x v="12"/>
    <x v="12"/>
    <x v="5"/>
    <x v="1"/>
    <d v="2024-11-20T00:00:00"/>
    <d v="2024-11-25T00:00:00"/>
    <s v="Cardiology"/>
    <s v="Angina"/>
    <s v="Medication"/>
    <n v="5"/>
    <n v="2000"/>
    <s v="Insurance"/>
    <s v="Cigna"/>
    <s v="Insured"/>
    <n v="7"/>
    <s v="No"/>
    <s v="No"/>
    <x v="0"/>
  </r>
  <r>
    <x v="13"/>
    <x v="13"/>
    <x v="2"/>
    <x v="0"/>
    <d v="2024-12-01T00:00:00"/>
    <d v="2024-12-05T00:00:00"/>
    <s v="Neurology"/>
    <s v="Migraine"/>
    <s v="Observation"/>
    <n v="4"/>
    <n v="800"/>
    <s v="Cash"/>
    <s v="None"/>
    <s v="Not Insured"/>
    <n v="9"/>
    <s v="No"/>
    <s v="No"/>
    <x v="0"/>
  </r>
  <r>
    <x v="14"/>
    <x v="14"/>
    <x v="5"/>
    <x v="1"/>
    <d v="2024-12-10T00:00:00"/>
    <d v="2024-12-15T00:00:00"/>
    <s v="Orthopedics"/>
    <s v="Fracture"/>
    <s v="Surgery"/>
    <n v="5"/>
    <n v="5000"/>
    <s v="Insurance"/>
    <s v="Blue Cross"/>
    <s v="Insured"/>
    <n v="8"/>
    <s v="No"/>
    <s v="No"/>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P0001"/>
    <x v="0"/>
    <s v="18-25"/>
    <x v="0"/>
    <x v="0"/>
    <x v="0"/>
    <x v="0"/>
    <x v="0"/>
    <x v="0"/>
    <n v="2"/>
    <n v="450"/>
    <x v="0"/>
    <s v="None"/>
    <s v="Not Insured"/>
    <n v="8"/>
    <x v="0"/>
    <x v="0"/>
    <x v="0"/>
  </r>
  <r>
    <s v="P0002"/>
    <x v="1"/>
    <s v="56-65"/>
    <x v="1"/>
    <x v="1"/>
    <x v="1"/>
    <x v="1"/>
    <x v="1"/>
    <x v="1"/>
    <n v="10"/>
    <n v="2100"/>
    <x v="1"/>
    <s v="Aetna"/>
    <s v="Insured"/>
    <n v="7"/>
    <x v="1"/>
    <x v="0"/>
    <x v="0"/>
  </r>
  <r>
    <s v="P0003"/>
    <x v="2"/>
    <s v="26-35"/>
    <x v="0"/>
    <x v="2"/>
    <x v="2"/>
    <x v="2"/>
    <x v="2"/>
    <x v="2"/>
    <n v="4"/>
    <n v="700"/>
    <x v="2"/>
    <s v="None"/>
    <s v="Not Insured"/>
    <n v="9"/>
    <x v="0"/>
    <x v="1"/>
    <x v="0"/>
  </r>
  <r>
    <s v="P0004"/>
    <x v="3"/>
    <s v="36-45"/>
    <x v="1"/>
    <x v="3"/>
    <x v="3"/>
    <x v="1"/>
    <x v="3"/>
    <x v="3"/>
    <n v="4"/>
    <n v="8000"/>
    <x v="1"/>
    <s v="Blue Cross"/>
    <s v="Insured"/>
    <n v="6"/>
    <x v="0"/>
    <x v="0"/>
    <x v="0"/>
  </r>
  <r>
    <s v="P0005"/>
    <x v="4"/>
    <s v="18-25"/>
    <x v="0"/>
    <x v="4"/>
    <x v="4"/>
    <x v="3"/>
    <x v="4"/>
    <x v="1"/>
    <n v="6"/>
    <n v="1100"/>
    <x v="2"/>
    <s v="None"/>
    <s v="Not Insured"/>
    <n v="10"/>
    <x v="0"/>
    <x v="1"/>
    <x v="0"/>
  </r>
  <r>
    <s v="P0006"/>
    <x v="5"/>
    <s v="66-80"/>
    <x v="1"/>
    <x v="5"/>
    <x v="5"/>
    <x v="2"/>
    <x v="5"/>
    <x v="3"/>
    <n v="5"/>
    <n v="12000"/>
    <x v="1"/>
    <s v="Aetna"/>
    <s v="Insured"/>
    <n v="8"/>
    <x v="1"/>
    <x v="0"/>
    <x v="1"/>
  </r>
  <r>
    <s v="P0007"/>
    <x v="6"/>
    <s v="26-35"/>
    <x v="1"/>
    <x v="6"/>
    <x v="6"/>
    <x v="0"/>
    <x v="6"/>
    <x v="0"/>
    <n v="5"/>
    <n v="900"/>
    <x v="0"/>
    <s v="None"/>
    <s v="Not Insured"/>
    <n v="9"/>
    <x v="0"/>
    <x v="0"/>
    <x v="0"/>
  </r>
  <r>
    <s v="P0008"/>
    <x v="7"/>
    <s v="46-55"/>
    <x v="0"/>
    <x v="7"/>
    <x v="7"/>
    <x v="1"/>
    <x v="7"/>
    <x v="3"/>
    <n v="5"/>
    <n v="15000"/>
    <x v="1"/>
    <s v="Cigna"/>
    <s v="Insured"/>
    <n v="7"/>
    <x v="0"/>
    <x v="1"/>
    <x v="0"/>
  </r>
  <r>
    <s v="P0009"/>
    <x v="8"/>
    <s v="36-45"/>
    <x v="1"/>
    <x v="8"/>
    <x v="8"/>
    <x v="2"/>
    <x v="8"/>
    <x v="1"/>
    <n v="5"/>
    <n v="500"/>
    <x v="2"/>
    <s v="None"/>
    <s v="Not Insured"/>
    <n v="9"/>
    <x v="0"/>
    <x v="0"/>
    <x v="0"/>
  </r>
  <r>
    <s v="P0010"/>
    <x v="9"/>
    <s v="36-45"/>
    <x v="0"/>
    <x v="9"/>
    <x v="9"/>
    <x v="4"/>
    <x v="9"/>
    <x v="2"/>
    <n v="2"/>
    <n v="300"/>
    <x v="0"/>
    <s v="None"/>
    <s v="Not Insured"/>
    <n v="10"/>
    <x v="0"/>
    <x v="0"/>
    <x v="0"/>
  </r>
  <r>
    <s v="P0011"/>
    <x v="10"/>
    <s v="56-65"/>
    <x v="1"/>
    <x v="10"/>
    <x v="10"/>
    <x v="5"/>
    <x v="10"/>
    <x v="4"/>
    <n v="15"/>
    <n v="25000"/>
    <x v="1"/>
    <s v="Aetna"/>
    <s v="Insured"/>
    <n v="6"/>
    <x v="1"/>
    <x v="0"/>
    <x v="0"/>
  </r>
  <r>
    <s v="P0012"/>
    <x v="11"/>
    <s v="66-80"/>
    <x v="0"/>
    <x v="11"/>
    <x v="11"/>
    <x v="6"/>
    <x v="11"/>
    <x v="1"/>
    <n v="7"/>
    <n v="3000"/>
    <x v="1"/>
    <s v="Blue Cross"/>
    <s v="Insured"/>
    <n v="5"/>
    <x v="1"/>
    <x v="1"/>
    <x v="1"/>
  </r>
  <r>
    <s v="P0013"/>
    <x v="12"/>
    <s v="46-55"/>
    <x v="1"/>
    <x v="12"/>
    <x v="12"/>
    <x v="1"/>
    <x v="12"/>
    <x v="1"/>
    <n v="5"/>
    <n v="2000"/>
    <x v="1"/>
    <s v="Cigna"/>
    <s v="Insured"/>
    <n v="7"/>
    <x v="0"/>
    <x v="0"/>
    <x v="0"/>
  </r>
  <r>
    <s v="P0014"/>
    <x v="13"/>
    <s v="26-35"/>
    <x v="0"/>
    <x v="13"/>
    <x v="13"/>
    <x v="2"/>
    <x v="2"/>
    <x v="2"/>
    <n v="4"/>
    <n v="800"/>
    <x v="2"/>
    <s v="None"/>
    <s v="Not Insured"/>
    <n v="9"/>
    <x v="0"/>
    <x v="0"/>
    <x v="0"/>
  </r>
  <r>
    <s v="P0015"/>
    <x v="14"/>
    <s v="46-55"/>
    <x v="1"/>
    <x v="14"/>
    <x v="14"/>
    <x v="0"/>
    <x v="0"/>
    <x v="3"/>
    <n v="5"/>
    <n v="5000"/>
    <x v="1"/>
    <s v="Blue Cross"/>
    <s v="Insured"/>
    <n v="8"/>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30F3A5-568F-448E-A59B-DD5765E28891}" name="PivotTable1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D3:E11" firstHeaderRow="1" firstDataRow="1" firstDataCol="1"/>
  <pivotFields count="22">
    <pivotField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axis="axisRow" showAll="0" sortType="ascending">
      <items count="8">
        <item x="1"/>
        <item x="6"/>
        <item x="4"/>
        <item x="2"/>
        <item x="5"/>
        <item x="0"/>
        <item x="3"/>
        <item t="default"/>
      </items>
      <autoSortScope>
        <pivotArea dataOnly="0" outline="0" fieldPosition="0">
          <references count="1">
            <reference field="4294967294" count="1" selected="0">
              <x v="0"/>
            </reference>
          </references>
        </pivotArea>
      </autoSortScope>
    </pivotField>
    <pivotField showAll="0"/>
    <pivotField showAll="0">
      <items count="6">
        <item x="4"/>
        <item x="1"/>
        <item x="2"/>
        <item x="3"/>
        <item x="0"/>
        <item t="default"/>
      </items>
    </pivotField>
    <pivotField showAll="0"/>
    <pivotField dataField="1" showAll="0"/>
    <pivotField showAll="0">
      <items count="4">
        <item x="2"/>
        <item x="0"/>
        <item x="1"/>
        <item t="default"/>
      </items>
    </pivotField>
    <pivotField showAll="0"/>
    <pivotField showAll="0"/>
    <pivotField showAll="0"/>
    <pivotField showAll="0">
      <items count="3">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v="2"/>
    </i>
    <i>
      <x v="6"/>
    </i>
    <i>
      <x v="1"/>
    </i>
    <i>
      <x v="5"/>
    </i>
    <i>
      <x v="3"/>
    </i>
    <i>
      <x v="4"/>
    </i>
    <i>
      <x/>
    </i>
    <i t="grand">
      <x/>
    </i>
  </rowItems>
  <colItems count="1">
    <i/>
  </colItems>
  <dataFields count="1">
    <dataField name="Sum of Total Bill Amount" fld="10" baseField="0" baseItem="0" numFmtId="42"/>
  </dataFields>
  <formats count="2">
    <format dxfId="501">
      <pivotArea dataOnly="0" labelOnly="1" outline="0" axis="axisValues" fieldPosition="0"/>
    </format>
    <format dxfId="500">
      <pivotArea outline="0" collapsedLevelsAreSubtotals="1" fieldPosition="0"/>
    </format>
  </formats>
  <chartFormats count="8">
    <chartFormat chart="34" format="14" series="1">
      <pivotArea type="data" outline="0" fieldPosition="0">
        <references count="1">
          <reference field="4294967294" count="1" selected="0">
            <x v="0"/>
          </reference>
        </references>
      </pivotArea>
    </chartFormat>
    <chartFormat chart="34" format="15">
      <pivotArea type="data" outline="0" fieldPosition="0">
        <references count="2">
          <reference field="4294967294" count="1" selected="0">
            <x v="0"/>
          </reference>
          <reference field="6" count="1" selected="0">
            <x v="2"/>
          </reference>
        </references>
      </pivotArea>
    </chartFormat>
    <chartFormat chart="34" format="16">
      <pivotArea type="data" outline="0" fieldPosition="0">
        <references count="2">
          <reference field="4294967294" count="1" selected="0">
            <x v="0"/>
          </reference>
          <reference field="6" count="1" selected="0">
            <x v="6"/>
          </reference>
        </references>
      </pivotArea>
    </chartFormat>
    <chartFormat chart="34" format="17">
      <pivotArea type="data" outline="0" fieldPosition="0">
        <references count="2">
          <reference field="4294967294" count="1" selected="0">
            <x v="0"/>
          </reference>
          <reference field="6" count="1" selected="0">
            <x v="1"/>
          </reference>
        </references>
      </pivotArea>
    </chartFormat>
    <chartFormat chart="34" format="18">
      <pivotArea type="data" outline="0" fieldPosition="0">
        <references count="2">
          <reference field="4294967294" count="1" selected="0">
            <x v="0"/>
          </reference>
          <reference field="6" count="1" selected="0">
            <x v="5"/>
          </reference>
        </references>
      </pivotArea>
    </chartFormat>
    <chartFormat chart="34" format="19">
      <pivotArea type="data" outline="0" fieldPosition="0">
        <references count="2">
          <reference field="4294967294" count="1" selected="0">
            <x v="0"/>
          </reference>
          <reference field="6" count="1" selected="0">
            <x v="3"/>
          </reference>
        </references>
      </pivotArea>
    </chartFormat>
    <chartFormat chart="34" format="20">
      <pivotArea type="data" outline="0" fieldPosition="0">
        <references count="2">
          <reference field="4294967294" count="1" selected="0">
            <x v="0"/>
          </reference>
          <reference field="6" count="1" selected="0">
            <x v="4"/>
          </reference>
        </references>
      </pivotArea>
    </chartFormat>
    <chartFormat chart="34" format="2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3921CD-3556-432F-ADE2-70BB70F5EBDD}"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J11" firstHeaderRow="1" firstDataRow="1" firstDataCol="1"/>
  <pivotFields count="22">
    <pivotField dataField="1"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axis="axisRow" showAll="0">
      <items count="8">
        <item x="1"/>
        <item x="6"/>
        <item x="4"/>
        <item x="2"/>
        <item x="5"/>
        <item x="0"/>
        <item x="3"/>
        <item t="default"/>
      </items>
    </pivotField>
    <pivotField showAll="0"/>
    <pivotField showAll="0">
      <items count="6">
        <item x="4"/>
        <item x="1"/>
        <item x="2"/>
        <item x="3"/>
        <item x="0"/>
        <item t="default"/>
      </items>
    </pivotField>
    <pivotField showAll="0"/>
    <pivotField showAll="0"/>
    <pivotField showAll="0">
      <items count="4">
        <item x="2"/>
        <item x="0"/>
        <item x="1"/>
        <item t="default"/>
      </items>
    </pivotField>
    <pivotField showAll="0"/>
    <pivotField showAll="0"/>
    <pivotField showAll="0"/>
    <pivotField showAll="0">
      <items count="3">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Items count="1">
    <i/>
  </colItems>
  <dataFields count="1">
    <dataField name="Count of Patient ID" fld="0" subtotal="count" baseField="0" baseItem="0"/>
  </dataFields>
  <formats count="2">
    <format dxfId="503">
      <pivotArea outline="0" collapsedLevelsAreSubtotals="1" fieldPosition="0"/>
    </format>
    <format dxfId="502">
      <pivotArea dataOnly="0" labelOnly="1" outline="0" axis="axisValues" fieldPosition="0"/>
    </format>
  </formats>
  <chartFormats count="2">
    <chartFormat chart="3"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BBFCBF-2125-4D6B-BBD4-899C6554FCA6}" name="PivotTable2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8:E26" firstHeaderRow="1" firstDataRow="1" firstDataCol="1"/>
  <pivotFields count="22">
    <pivotField dataField="1" showAll="0"/>
    <pivotField axis="axisRow" showAll="0">
      <items count="10">
        <item x="0"/>
        <item x="1"/>
        <item x="2"/>
        <item x="3"/>
        <item x="4"/>
        <item x="5"/>
        <item x="6"/>
        <item x="7"/>
        <item x="8"/>
        <item t="default"/>
      </items>
    </pivotField>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showAll="0">
      <items count="8">
        <item x="1"/>
        <item x="6"/>
        <item x="4"/>
        <item x="2"/>
        <item x="5"/>
        <item x="0"/>
        <item x="3"/>
        <item t="default"/>
      </items>
    </pivotField>
    <pivotField showAll="0"/>
    <pivotField showAll="0">
      <items count="6">
        <item x="4"/>
        <item x="1"/>
        <item x="2"/>
        <item x="3"/>
        <item x="0"/>
        <item t="default"/>
      </items>
    </pivotField>
    <pivotField showAll="0"/>
    <pivotField showAll="0"/>
    <pivotField showAll="0">
      <items count="4">
        <item x="2"/>
        <item x="0"/>
        <item x="1"/>
        <item t="default"/>
      </items>
    </pivotField>
    <pivotField showAll="0"/>
    <pivotField showAll="0"/>
    <pivotField showAll="0"/>
    <pivotField showAll="0">
      <items count="3">
        <item x="0"/>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8">
    <i>
      <x v="1"/>
    </i>
    <i>
      <x v="2"/>
    </i>
    <i>
      <x v="3"/>
    </i>
    <i>
      <x v="4"/>
    </i>
    <i>
      <x v="5"/>
    </i>
    <i>
      <x v="6"/>
    </i>
    <i>
      <x v="7"/>
    </i>
    <i t="grand">
      <x/>
    </i>
  </rowItems>
  <colItems count="1">
    <i/>
  </colItems>
  <dataFields count="1">
    <dataField name="Count of Patient ID" fld="0" subtotal="count" baseField="0" baseItem="0"/>
  </dataFields>
  <formats count="5">
    <format dxfId="508">
      <pivotArea outline="0" collapsedLevelsAreSubtotals="1" fieldPosition="0"/>
    </format>
    <format dxfId="507">
      <pivotArea dataOnly="0" labelOnly="1" outline="0" axis="axisValues" fieldPosition="0"/>
    </format>
    <format dxfId="506">
      <pivotArea field="1" type="button" dataOnly="0" labelOnly="1" outline="0" axis="axisRow" fieldPosition="0"/>
    </format>
    <format dxfId="505">
      <pivotArea dataOnly="0" labelOnly="1" fieldPosition="0">
        <references count="1">
          <reference field="1" count="7">
            <x v="1"/>
            <x v="2"/>
            <x v="3"/>
            <x v="4"/>
            <x v="5"/>
            <x v="6"/>
            <x v="7"/>
          </reference>
        </references>
      </pivotArea>
    </format>
    <format dxfId="504">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6F48FA-1CC6-4108-BE30-30C95F90BD1B}"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3:B27" firstHeaderRow="1" firstDataRow="1" firstDataCol="1"/>
  <pivotFields count="22">
    <pivotField dataField="1"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showAll="0">
      <items count="8">
        <item x="1"/>
        <item x="6"/>
        <item x="4"/>
        <item x="2"/>
        <item x="5"/>
        <item x="0"/>
        <item x="3"/>
        <item t="default"/>
      </items>
    </pivotField>
    <pivotField showAll="0"/>
    <pivotField showAll="0">
      <items count="6">
        <item x="4"/>
        <item x="1"/>
        <item x="2"/>
        <item x="3"/>
        <item x="0"/>
        <item t="default"/>
      </items>
    </pivotField>
    <pivotField showAll="0"/>
    <pivotField showAll="0"/>
    <pivotField axis="axisRow" showAll="0">
      <items count="4">
        <item x="2"/>
        <item x="0"/>
        <item x="1"/>
        <item t="default"/>
      </items>
    </pivotField>
    <pivotField showAll="0"/>
    <pivotField showAll="0"/>
    <pivotField showAll="0"/>
    <pivotField showAll="0">
      <items count="3">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Count of Patient ID" fld="0" subtotal="count" baseField="0" baseItem="0"/>
  </dataFields>
  <formats count="2">
    <format dxfId="510">
      <pivotArea outline="0" collapsedLevelsAreSubtotals="1" fieldPosition="0"/>
    </format>
    <format dxfId="509">
      <pivotArea dataOnly="0" labelOnly="1" outline="0" axis="axisValues" fieldPosition="0"/>
    </format>
  </format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1" count="1" selected="0">
            <x v="0"/>
          </reference>
        </references>
      </pivotArea>
    </chartFormat>
    <chartFormat chart="8" format="10">
      <pivotArea type="data" outline="0" fieldPosition="0">
        <references count="2">
          <reference field="4294967294" count="1" selected="0">
            <x v="0"/>
          </reference>
          <reference field="11" count="1" selected="0">
            <x v="1"/>
          </reference>
        </references>
      </pivotArea>
    </chartFormat>
    <chartFormat chart="8"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915CC4-BE98-465C-AFEB-B290F3D102DE}" name="PivotTable1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1:L34" firstHeaderRow="1" firstDataRow="1" firstDataCol="1"/>
  <pivotFields count="22">
    <pivotField dataField="1"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showAll="0">
      <items count="8">
        <item x="1"/>
        <item x="6"/>
        <item x="4"/>
        <item x="2"/>
        <item x="5"/>
        <item x="0"/>
        <item x="3"/>
        <item t="default"/>
      </items>
    </pivotField>
    <pivotField showAll="0"/>
    <pivotField showAll="0">
      <items count="6">
        <item x="4"/>
        <item x="1"/>
        <item x="2"/>
        <item x="3"/>
        <item x="0"/>
        <item t="default"/>
      </items>
    </pivotField>
    <pivotField showAll="0"/>
    <pivotField showAll="0"/>
    <pivotField showAll="0">
      <items count="4">
        <item x="2"/>
        <item x="0"/>
        <item x="1"/>
        <item t="default"/>
      </items>
    </pivotField>
    <pivotField showAll="0"/>
    <pivotField showAll="0"/>
    <pivotField showAll="0"/>
    <pivotField showAll="0">
      <items count="3">
        <item x="0"/>
        <item x="1"/>
        <item t="default"/>
      </items>
    </pivotField>
    <pivotField showAll="0"/>
    <pivotField axis="axisRow"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3">
    <i>
      <x/>
    </i>
    <i>
      <x v="1"/>
    </i>
    <i t="grand">
      <x/>
    </i>
  </rowItems>
  <colItems count="1">
    <i/>
  </colItems>
  <dataFields count="1">
    <dataField name="Count of Patient ID" fld="0" subtotal="count" baseField="0" baseItem="0"/>
  </dataFields>
  <formats count="3">
    <format dxfId="513">
      <pivotArea field="17" type="button" dataOnly="0" labelOnly="1" outline="0" axis="axisRow" fieldPosition="0"/>
    </format>
    <format dxfId="512">
      <pivotArea outline="0" collapsedLevelsAreSubtotals="1" fieldPosition="0"/>
    </format>
    <format dxfId="5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6D7384-F5D6-4876-AD3E-6FDBCCD8D6EB}"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6:M24" firstHeaderRow="1" firstDataRow="1" firstDataCol="1"/>
  <pivotFields count="22">
    <pivotField dataField="1"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axis="axisRow" showAll="0">
      <items count="8">
        <item x="1"/>
        <item x="6"/>
        <item x="4"/>
        <item x="2"/>
        <item x="5"/>
        <item x="0"/>
        <item x="3"/>
        <item t="default"/>
      </items>
    </pivotField>
    <pivotField showAll="0"/>
    <pivotField showAll="0">
      <items count="6">
        <item x="4"/>
        <item x="1"/>
        <item x="2"/>
        <item x="3"/>
        <item x="0"/>
        <item t="default"/>
      </items>
    </pivotField>
    <pivotField showAll="0"/>
    <pivotField showAll="0"/>
    <pivotField showAll="0">
      <items count="4">
        <item x="2"/>
        <item x="0"/>
        <item x="1"/>
        <item t="default"/>
      </items>
    </pivotField>
    <pivotField showAll="0"/>
    <pivotField showAll="0"/>
    <pivotField showAll="0"/>
    <pivotField showAll="0">
      <items count="3">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Items count="1">
    <i/>
  </colItems>
  <dataFields count="1">
    <dataField name="Count of Patient ID" fld="0" subtotal="count" baseField="0" baseItem="0"/>
  </dataFields>
  <formats count="5">
    <format dxfId="518">
      <pivotArea field="6" type="button" dataOnly="0" labelOnly="1" outline="0" axis="axisRow" fieldPosition="0"/>
    </format>
    <format dxfId="517">
      <pivotArea dataOnly="0" labelOnly="1" fieldPosition="0">
        <references count="1">
          <reference field="6" count="0"/>
        </references>
      </pivotArea>
    </format>
    <format dxfId="516">
      <pivotArea dataOnly="0" labelOnly="1" grandRow="1" outline="0" fieldPosition="0"/>
    </format>
    <format dxfId="515">
      <pivotArea outline="0" collapsedLevelsAreSubtotals="1" fieldPosition="0"/>
    </format>
    <format dxfId="51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E5B66D-4EB1-45BC-BFD3-86463AE9DAB8}" name="PivotTable2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5:N48" firstHeaderRow="1" firstDataRow="1" firstDataCol="1"/>
  <pivotFields count="18">
    <pivotField dataField="1" showAll="0">
      <items count="16">
        <item x="0"/>
        <item x="1"/>
        <item x="2"/>
        <item x="3"/>
        <item x="4"/>
        <item x="5"/>
        <item x="6"/>
        <item x="7"/>
        <item x="8"/>
        <item x="9"/>
        <item x="10"/>
        <item x="11"/>
        <item x="12"/>
        <item x="13"/>
        <item x="14"/>
        <item t="default"/>
      </items>
    </pivotField>
    <pivotField showAll="0"/>
    <pivotField showAll="0"/>
    <pivotField showAll="0">
      <items count="3">
        <item x="0"/>
        <item x="1"/>
        <item t="default"/>
      </items>
    </pivotField>
    <pivotField numFmtId="14" showAll="0"/>
    <pivotField numFmtId="14" showAll="0"/>
    <pivotField showAll="0"/>
    <pivotField showAll="0"/>
    <pivotField showAll="0"/>
    <pivotField showAll="0"/>
    <pivotField numFmtId="42" showAll="0"/>
    <pivotField showAll="0"/>
    <pivotField showAll="0"/>
    <pivotField showAll="0"/>
    <pivotField showAll="0"/>
    <pivotField showAll="0"/>
    <pivotField showAll="0"/>
    <pivotField axis="axisRow" showAll="0">
      <items count="3">
        <item x="1"/>
        <item x="0"/>
        <item t="default"/>
      </items>
    </pivotField>
  </pivotFields>
  <rowFields count="1">
    <field x="17"/>
  </rowFields>
  <rowItems count="3">
    <i>
      <x/>
    </i>
    <i>
      <x v="1"/>
    </i>
    <i t="grand">
      <x/>
    </i>
  </rowItems>
  <colItems count="1">
    <i/>
  </colItems>
  <dataFields count="1">
    <dataField name="Count of Patient 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2EDC63-455A-4AA8-9EFF-214C20259F98}"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1:D32" firstHeaderRow="1" firstDataRow="1" firstDataCol="0"/>
  <pivotFields count="22">
    <pivotField dataField="1"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showAll="0">
      <items count="8">
        <item x="1"/>
        <item x="6"/>
        <item x="4"/>
        <item x="2"/>
        <item x="5"/>
        <item x="0"/>
        <item x="3"/>
        <item t="default"/>
      </items>
    </pivotField>
    <pivotField showAll="0"/>
    <pivotField showAll="0">
      <items count="6">
        <item x="4"/>
        <item x="1"/>
        <item x="2"/>
        <item x="3"/>
        <item x="0"/>
        <item t="default"/>
      </items>
    </pivotField>
    <pivotField showAll="0"/>
    <pivotField showAll="0"/>
    <pivotField showAll="0">
      <items count="4">
        <item x="2"/>
        <item x="0"/>
        <item x="1"/>
        <item t="default"/>
      </items>
    </pivotField>
    <pivotField showAll="0"/>
    <pivotField showAll="0"/>
    <pivotField showAll="0"/>
    <pivotField showAll="0">
      <items count="3">
        <item x="0"/>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Patient ID" fld="0" subtotal="count" baseField="0" baseItem="0"/>
  </dataFields>
  <formats count="3">
    <format dxfId="521">
      <pivotArea type="all" dataOnly="0" outline="0" fieldPosition="0"/>
    </format>
    <format dxfId="520">
      <pivotArea outline="0" collapsedLevelsAreSubtotals="1" fieldPosition="0"/>
    </format>
    <format dxfId="5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C52E97-00E1-4204-A78F-19F7458B3C16}" name="PivotTable1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1:O32" firstHeaderRow="1" firstDataRow="1" firstDataCol="0"/>
  <pivotFields count="22">
    <pivotField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showAll="0">
      <items count="8">
        <item x="1"/>
        <item x="6"/>
        <item x="4"/>
        <item x="2"/>
        <item x="5"/>
        <item x="0"/>
        <item x="3"/>
        <item t="default"/>
      </items>
    </pivotField>
    <pivotField showAll="0"/>
    <pivotField showAll="0">
      <items count="6">
        <item x="4"/>
        <item x="1"/>
        <item x="2"/>
        <item x="3"/>
        <item x="0"/>
        <item t="default"/>
      </items>
    </pivotField>
    <pivotField dataField="1" showAll="0"/>
    <pivotField showAll="0"/>
    <pivotField showAll="0">
      <items count="4">
        <item x="2"/>
        <item x="0"/>
        <item x="1"/>
        <item t="default"/>
      </items>
    </pivotField>
    <pivotField showAll="0"/>
    <pivotField showAll="0"/>
    <pivotField showAll="0"/>
    <pivotField showAll="0">
      <items count="3">
        <item x="0"/>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Length of Stay" fld="9" subtotal="average" baseField="0" baseItem="0"/>
  </dataFields>
  <formats count="3">
    <format dxfId="524">
      <pivotArea type="all" dataOnly="0" outline="0" fieldPosition="0"/>
    </format>
    <format dxfId="523">
      <pivotArea outline="0" collapsedLevelsAreSubtotals="1" fieldPosition="0"/>
    </format>
    <format dxfId="5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92AB52-08D6-4519-B240-A517D9053482}"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0:M13" firstHeaderRow="1" firstDataRow="1" firstDataCol="1"/>
  <pivotFields count="22">
    <pivotField dataField="1"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showAll="0">
      <items count="8">
        <item x="1"/>
        <item x="6"/>
        <item x="4"/>
        <item x="2"/>
        <item x="5"/>
        <item x="0"/>
        <item x="3"/>
        <item t="default"/>
      </items>
    </pivotField>
    <pivotField showAll="0"/>
    <pivotField showAll="0">
      <items count="6">
        <item x="4"/>
        <item x="1"/>
        <item x="2"/>
        <item x="3"/>
        <item x="0"/>
        <item t="default"/>
      </items>
    </pivotField>
    <pivotField showAll="0"/>
    <pivotField showAll="0"/>
    <pivotField showAll="0">
      <items count="4">
        <item x="2"/>
        <item x="0"/>
        <item x="1"/>
        <item t="default"/>
      </items>
    </pivotField>
    <pivotField showAll="0"/>
    <pivotField showAll="0"/>
    <pivotField showAll="0"/>
    <pivotField showAll="0">
      <items count="3">
        <item x="0"/>
        <item x="1"/>
        <item t="default"/>
      </items>
    </pivotField>
    <pivotField showAll="0"/>
    <pivotField axis="axisRow"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3">
    <i>
      <x/>
    </i>
    <i>
      <x v="1"/>
    </i>
    <i t="grand">
      <x/>
    </i>
  </rowItems>
  <colItems count="1">
    <i/>
  </colItems>
  <dataFields count="1">
    <dataField name="Count of Patient ID" fld="0" subtotal="count" baseField="0" baseItem="0"/>
  </dataFields>
  <formats count="8">
    <format dxfId="532">
      <pivotArea collapsedLevelsAreSubtotals="1" fieldPosition="0">
        <references count="1">
          <reference field="17" count="1">
            <x v="1"/>
          </reference>
        </references>
      </pivotArea>
    </format>
    <format dxfId="531">
      <pivotArea collapsedLevelsAreSubtotals="1" fieldPosition="0">
        <references count="1">
          <reference field="17" count="1">
            <x v="0"/>
          </reference>
        </references>
      </pivotArea>
    </format>
    <format dxfId="530">
      <pivotArea grandRow="1" outline="0" collapsedLevelsAreSubtotals="1" fieldPosition="0"/>
    </format>
    <format dxfId="529">
      <pivotArea field="17" type="button" dataOnly="0" labelOnly="1" outline="0" axis="axisRow" fieldPosition="0"/>
    </format>
    <format dxfId="528">
      <pivotArea dataOnly="0" labelOnly="1" fieldPosition="0">
        <references count="1">
          <reference field="17" count="0"/>
        </references>
      </pivotArea>
    </format>
    <format dxfId="527">
      <pivotArea dataOnly="0" labelOnly="1" grandRow="1" outline="0" fieldPosition="0"/>
    </format>
    <format dxfId="526">
      <pivotArea outline="0" collapsedLevelsAreSubtotals="1" fieldPosition="0"/>
    </format>
    <format dxfId="5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030254-694F-49D9-9EE7-75F118E18F33}"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11" firstHeaderRow="1" firstDataRow="1" firstDataCol="1"/>
  <pivotFields count="22">
    <pivotField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axis="axisRow" showAll="0">
      <items count="8">
        <item x="1"/>
        <item x="6"/>
        <item x="4"/>
        <item x="2"/>
        <item x="5"/>
        <item x="0"/>
        <item x="3"/>
        <item t="default"/>
      </items>
    </pivotField>
    <pivotField showAll="0"/>
    <pivotField showAll="0">
      <items count="6">
        <item x="4"/>
        <item x="1"/>
        <item x="2"/>
        <item x="3"/>
        <item x="0"/>
        <item t="default"/>
      </items>
    </pivotField>
    <pivotField dataField="1" showAll="0"/>
    <pivotField showAll="0"/>
    <pivotField showAll="0">
      <items count="4">
        <item x="2"/>
        <item x="0"/>
        <item x="1"/>
        <item t="default"/>
      </items>
    </pivotField>
    <pivotField showAll="0"/>
    <pivotField showAll="0"/>
    <pivotField showAll="0"/>
    <pivotField showAll="0">
      <items count="3">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Items count="1">
    <i/>
  </colItems>
  <dataFields count="1">
    <dataField name="Average of Length of Stay" fld="9" subtotal="average" baseField="5" baseItem="5"/>
  </dataFields>
  <formats count="2">
    <format dxfId="534">
      <pivotArea outline="0" collapsedLevelsAreSubtotals="1" fieldPosition="0"/>
    </format>
    <format dxfId="533">
      <pivotArea dataOnly="0" labelOnly="1" outline="0" axis="axisValues" fieldPosition="0"/>
    </format>
  </formats>
  <chartFormats count="3">
    <chartFormat chart="11" format="3"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7A9DAE-BFF1-4BDB-B785-903EE068E202}" name="PivotTable1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J38:K42" firstHeaderRow="1" firstDataRow="1" firstDataCol="1"/>
  <pivotFields count="22">
    <pivotField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showAll="0">
      <items count="8">
        <item x="1"/>
        <item x="6"/>
        <item x="4"/>
        <item x="2"/>
        <item x="5"/>
        <item x="0"/>
        <item x="3"/>
        <item t="default"/>
      </items>
    </pivotField>
    <pivotField showAll="0"/>
    <pivotField showAll="0">
      <items count="6">
        <item x="4"/>
        <item x="1"/>
        <item x="2"/>
        <item x="3"/>
        <item x="0"/>
        <item t="default"/>
      </items>
    </pivotField>
    <pivotField showAll="0"/>
    <pivotField dataField="1" showAll="0"/>
    <pivotField axis="axisRow" showAll="0">
      <items count="4">
        <item x="2"/>
        <item x="0"/>
        <item x="1"/>
        <item t="default"/>
      </items>
    </pivotField>
    <pivotField showAll="0"/>
    <pivotField showAll="0"/>
    <pivotField showAll="0"/>
    <pivotField showAll="0">
      <items count="3">
        <item x="0"/>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4">
    <i>
      <x/>
    </i>
    <i>
      <x v="1"/>
    </i>
    <i>
      <x v="2"/>
    </i>
    <i t="grand">
      <x/>
    </i>
  </rowItems>
  <colItems count="1">
    <i/>
  </colItems>
  <dataFields count="1">
    <dataField name="Sum of Total Bill Amount" fld="10" baseField="0" baseItem="0" numFmtId="42"/>
  </dataFields>
  <formats count="3">
    <format dxfId="537">
      <pivotArea type="all" dataOnly="0" outline="0" fieldPosition="0"/>
    </format>
    <format dxfId="536">
      <pivotArea dataOnly="0" labelOnly="1" outline="0" axis="axisValues" fieldPosition="0"/>
    </format>
    <format dxfId="535">
      <pivotArea outline="0" collapsedLevelsAreSubtotals="1" fieldPosition="0"/>
    </format>
  </formats>
  <chartFormats count="4">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11" count="1" selected="0">
            <x v="0"/>
          </reference>
        </references>
      </pivotArea>
    </chartFormat>
    <chartFormat chart="34" format="7">
      <pivotArea type="data" outline="0" fieldPosition="0">
        <references count="2">
          <reference field="4294967294" count="1" selected="0">
            <x v="0"/>
          </reference>
          <reference field="11" count="1" selected="0">
            <x v="1"/>
          </reference>
        </references>
      </pivotArea>
    </chartFormat>
    <chartFormat chart="34"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1909EE-4223-4C45-8336-A0417220599B}"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15:J23" firstHeaderRow="1" firstDataRow="1" firstDataCol="1"/>
  <pivotFields count="22">
    <pivotField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axis="axisRow" showAll="0">
      <items count="8">
        <item x="1"/>
        <item x="6"/>
        <item x="4"/>
        <item x="2"/>
        <item x="5"/>
        <item x="0"/>
        <item x="3"/>
        <item t="default"/>
      </items>
    </pivotField>
    <pivotField showAll="0"/>
    <pivotField showAll="0">
      <items count="6">
        <item x="4"/>
        <item x="1"/>
        <item x="2"/>
        <item x="3"/>
        <item x="0"/>
        <item t="default"/>
      </items>
    </pivotField>
    <pivotField showAll="0"/>
    <pivotField showAll="0"/>
    <pivotField showAll="0">
      <items count="4">
        <item x="2"/>
        <item x="0"/>
        <item x="1"/>
        <item t="default"/>
      </items>
    </pivotField>
    <pivotField showAll="0"/>
    <pivotField showAll="0"/>
    <pivotField dataField="1" showAll="0"/>
    <pivotField showAll="0">
      <items count="3">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Items count="1">
    <i/>
  </colItems>
  <dataFields count="1">
    <dataField name="Average of Satisfaction Score" fld="14" subtotal="average" baseField="5" baseItem="0"/>
  </dataFields>
  <formats count="2">
    <format dxfId="539">
      <pivotArea outline="0" collapsedLevelsAreSubtotals="1" fieldPosition="0"/>
    </format>
    <format dxfId="538">
      <pivotArea dataOnly="0" labelOnly="1" outline="0" axis="axisValues" fieldPosition="0"/>
    </format>
  </formats>
  <chartFormats count="10">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6" count="1" selected="0">
            <x v="5"/>
          </reference>
        </references>
      </pivotArea>
    </chartFormat>
    <chartFormat chart="10" format="4">
      <pivotArea type="data" outline="0" fieldPosition="0">
        <references count="2">
          <reference field="4294967294" count="1" selected="0">
            <x v="0"/>
          </reference>
          <reference field="6" count="1" selected="0">
            <x v="4"/>
          </reference>
        </references>
      </pivotArea>
    </chartFormat>
    <chartFormat chart="10" format="5">
      <pivotArea type="data" outline="0" fieldPosition="0">
        <references count="2">
          <reference field="4294967294" count="1" selected="0">
            <x v="0"/>
          </reference>
          <reference field="6" count="1" selected="0">
            <x v="3"/>
          </reference>
        </references>
      </pivotArea>
    </chartFormat>
    <chartFormat chart="10" format="6">
      <pivotArea type="data" outline="0" fieldPosition="0">
        <references count="2">
          <reference field="4294967294" count="1" selected="0">
            <x v="0"/>
          </reference>
          <reference field="6" count="1" selected="0">
            <x v="1"/>
          </reference>
        </references>
      </pivotArea>
    </chartFormat>
    <chartFormat chart="10" format="7">
      <pivotArea type="data" outline="0" fieldPosition="0">
        <references count="2">
          <reference field="4294967294" count="1" selected="0">
            <x v="0"/>
          </reference>
          <reference field="6" count="1" selected="0">
            <x v="0"/>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 chart="10" format="9">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718786-7EA1-4F6F-9C0A-8E84ACECE0EF}" name="PivotTable1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G3:H17" firstHeaderRow="1" firstDataRow="1" firstDataCol="1"/>
  <pivotFields count="22">
    <pivotField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showAll="0">
      <items count="8">
        <item x="1"/>
        <item x="6"/>
        <item x="4"/>
        <item x="2"/>
        <item x="5"/>
        <item x="0"/>
        <item x="3"/>
        <item t="default"/>
      </items>
    </pivotField>
    <pivotField axis="axisRow" showAll="0">
      <items count="14">
        <item x="12"/>
        <item x="3"/>
        <item x="4"/>
        <item x="10"/>
        <item x="6"/>
        <item x="8"/>
        <item x="0"/>
        <item x="7"/>
        <item x="1"/>
        <item x="2"/>
        <item x="11"/>
        <item x="9"/>
        <item x="5"/>
        <item t="default"/>
      </items>
    </pivotField>
    <pivotField showAll="0">
      <items count="6">
        <item x="4"/>
        <item x="1"/>
        <item x="2"/>
        <item x="3"/>
        <item x="0"/>
        <item t="default"/>
      </items>
    </pivotField>
    <pivotField showAll="0"/>
    <pivotField showAll="0"/>
    <pivotField showAll="0">
      <items count="4">
        <item x="2"/>
        <item x="0"/>
        <item x="1"/>
        <item t="default"/>
      </items>
    </pivotField>
    <pivotField showAll="0"/>
    <pivotField showAll="0"/>
    <pivotField showAll="0"/>
    <pivotField dataField="1" showAll="0">
      <items count="3">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4">
    <i>
      <x/>
    </i>
    <i>
      <x v="1"/>
    </i>
    <i>
      <x v="2"/>
    </i>
    <i>
      <x v="3"/>
    </i>
    <i>
      <x v="4"/>
    </i>
    <i>
      <x v="5"/>
    </i>
    <i>
      <x v="6"/>
    </i>
    <i>
      <x v="7"/>
    </i>
    <i>
      <x v="8"/>
    </i>
    <i>
      <x v="9"/>
    </i>
    <i>
      <x v="10"/>
    </i>
    <i>
      <x v="11"/>
    </i>
    <i>
      <x v="12"/>
    </i>
    <i t="grand">
      <x/>
    </i>
  </rowItems>
  <colItems count="1">
    <i/>
  </colItems>
  <dataFields count="1">
    <dataField name="Count of Readmission" fld="15" subtotal="count" baseField="0" baseItem="0"/>
  </dataFields>
  <formats count="2">
    <format dxfId="541">
      <pivotArea dataOnly="0" labelOnly="1" outline="0" axis="axisValues" fieldPosition="0"/>
    </format>
    <format dxfId="5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58C8E7-57F0-410C-843D-901A2706557F}"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3:M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Total Bill Amount" fld="1" subtotal="average" baseField="0" baseItem="0"/>
  </dataFields>
  <formats count="5">
    <format dxfId="546">
      <pivotArea field="0" type="button" dataOnly="0" labelOnly="1" outline="0" axis="axisRow" fieldPosition="0"/>
    </format>
    <format dxfId="545">
      <pivotArea dataOnly="0" labelOnly="1" fieldPosition="0">
        <references count="1">
          <reference field="0" count="0"/>
        </references>
      </pivotArea>
    </format>
    <format dxfId="544">
      <pivotArea dataOnly="0" labelOnly="1" grandRow="1" outline="0" fieldPosition="0"/>
    </format>
    <format dxfId="543">
      <pivotArea outline="0" collapsedLevelsAreSubtotals="1" fieldPosition="0"/>
    </format>
    <format dxfId="542">
      <pivotArea dataOnly="0" labelOnly="1" outline="0" axis="axisValues" fieldPosition="0"/>
    </format>
  </formats>
  <chartFormats count="2">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otal Bill Amount"/>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 Dataset (version 1).xlsb.xlsx!Hospital">
        <x15:activeTabTopLevelEntity name="[Hospi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77603E0-F6DB-430D-A4E6-A5EBAB6C231A}" name="PivotTable1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1:G32" firstHeaderRow="1" firstDataRow="1" firstDataCol="0"/>
  <pivotFields count="22">
    <pivotField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showAll="0">
      <items count="8">
        <item x="1"/>
        <item x="6"/>
        <item x="4"/>
        <item x="2"/>
        <item x="5"/>
        <item x="0"/>
        <item x="3"/>
        <item t="default"/>
      </items>
    </pivotField>
    <pivotField showAll="0"/>
    <pivotField showAll="0">
      <items count="6">
        <item x="4"/>
        <item x="1"/>
        <item x="2"/>
        <item x="3"/>
        <item x="0"/>
        <item t="default"/>
      </items>
    </pivotField>
    <pivotField showAll="0"/>
    <pivotField showAll="0"/>
    <pivotField showAll="0">
      <items count="4">
        <item x="2"/>
        <item x="0"/>
        <item x="1"/>
        <item t="default"/>
      </items>
    </pivotField>
    <pivotField showAll="0"/>
    <pivotField showAll="0"/>
    <pivotField dataField="1" showAll="0"/>
    <pivotField showAll="0">
      <items count="3">
        <item x="0"/>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Satisfaction Score" fld="14" subtotal="average" baseField="0" baseItem="0"/>
  </dataFields>
  <formats count="3">
    <format dxfId="549">
      <pivotArea type="all" dataOnly="0" outline="0" fieldPosition="0"/>
    </format>
    <format dxfId="548">
      <pivotArea outline="0" collapsedLevelsAreSubtotals="1" fieldPosition="0"/>
    </format>
    <format dxfId="5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A1E6BE2-F125-4EC7-8C66-1CE8D46AE7B2}"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B32" firstHeaderRow="1" firstDataRow="1" firstDataCol="0"/>
  <pivotFields count="22">
    <pivotField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showAll="0">
      <items count="8">
        <item x="1"/>
        <item x="6"/>
        <item x="4"/>
        <item x="2"/>
        <item x="5"/>
        <item x="0"/>
        <item x="3"/>
        <item t="default"/>
      </items>
    </pivotField>
    <pivotField showAll="0"/>
    <pivotField showAll="0">
      <items count="6">
        <item x="4"/>
        <item x="1"/>
        <item x="2"/>
        <item x="3"/>
        <item x="0"/>
        <item t="default"/>
      </items>
    </pivotField>
    <pivotField showAll="0"/>
    <pivotField dataField="1" showAll="0"/>
    <pivotField showAll="0">
      <items count="4">
        <item x="2"/>
        <item x="0"/>
        <item x="1"/>
        <item t="default"/>
      </items>
    </pivotField>
    <pivotField showAll="0"/>
    <pivotField showAll="0"/>
    <pivotField showAll="0"/>
    <pivotField showAll="0">
      <items count="3">
        <item x="0"/>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 Bill Amount" fld="10" baseField="0" baseItem="0" numFmtId="42"/>
  </dataFields>
  <formats count="3">
    <format dxfId="552">
      <pivotArea type="all" dataOnly="0" outline="0" fieldPosition="0"/>
    </format>
    <format dxfId="551">
      <pivotArea dataOnly="0" labelOnly="1" outline="0" axis="axisValues" fieldPosition="0"/>
    </format>
    <format dxfId="5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0593F5E-6EC6-4399-96A7-2D47F862321C}" name="PivotTable1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38:G53" firstHeaderRow="1" firstDataRow="2" firstDataCol="1"/>
  <pivotFields count="22">
    <pivotField dataField="1"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showAll="0">
      <items count="8">
        <item x="1"/>
        <item x="6"/>
        <item x="4"/>
        <item x="2"/>
        <item x="5"/>
        <item x="0"/>
        <item x="3"/>
        <item t="default"/>
      </items>
    </pivotField>
    <pivotField axis="axisRow" showAll="0">
      <items count="14">
        <item x="12"/>
        <item x="3"/>
        <item x="4"/>
        <item x="10"/>
        <item x="6"/>
        <item x="8"/>
        <item x="0"/>
        <item x="7"/>
        <item x="1"/>
        <item x="2"/>
        <item x="11"/>
        <item x="9"/>
        <item x="5"/>
        <item t="default"/>
      </items>
    </pivotField>
    <pivotField showAll="0">
      <items count="6">
        <item x="4"/>
        <item x="1"/>
        <item x="2"/>
        <item x="3"/>
        <item x="0"/>
        <item t="default"/>
      </items>
    </pivotField>
    <pivotField showAll="0"/>
    <pivotField showAll="0"/>
    <pivotField showAll="0">
      <items count="4">
        <item x="2"/>
        <item x="0"/>
        <item x="1"/>
        <item t="default"/>
      </items>
    </pivotField>
    <pivotField showAll="0"/>
    <pivotField showAll="0"/>
    <pivotField showAll="0"/>
    <pivotField axis="axisCol" showAll="0">
      <items count="3">
        <item x="0"/>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14">
    <i>
      <x/>
    </i>
    <i>
      <x v="1"/>
    </i>
    <i>
      <x v="2"/>
    </i>
    <i>
      <x v="3"/>
    </i>
    <i>
      <x v="4"/>
    </i>
    <i>
      <x v="5"/>
    </i>
    <i>
      <x v="6"/>
    </i>
    <i>
      <x v="7"/>
    </i>
    <i>
      <x v="8"/>
    </i>
    <i>
      <x v="9"/>
    </i>
    <i>
      <x v="10"/>
    </i>
    <i>
      <x v="11"/>
    </i>
    <i>
      <x v="12"/>
    </i>
    <i t="grand">
      <x/>
    </i>
  </rowItems>
  <colFields count="1">
    <field x="15"/>
  </colFields>
  <colItems count="3">
    <i>
      <x/>
    </i>
    <i>
      <x v="1"/>
    </i>
    <i t="grand">
      <x/>
    </i>
  </colItems>
  <dataFields count="1">
    <dataField name="Count of Patient ID" fld="0" subtotal="count" baseField="0" baseItem="0"/>
  </dataFields>
  <formats count="3">
    <format dxfId="555">
      <pivotArea type="all" dataOnly="0" outline="0" fieldPosition="0"/>
    </format>
    <format dxfId="554">
      <pivotArea outline="0" collapsedLevelsAreSubtotals="1" fieldPosition="0"/>
    </format>
    <format dxfId="553">
      <pivotArea dataOnly="0" labelOnly="1" outline="0" axis="axisValues" fieldPosition="0"/>
    </format>
  </formats>
  <chartFormats count="4">
    <chartFormat chart="4" format="35" series="1">
      <pivotArea type="data" outline="0" fieldPosition="0">
        <references count="2">
          <reference field="4294967294" count="1" selected="0">
            <x v="0"/>
          </reference>
          <reference field="15" count="1" selected="0">
            <x v="0"/>
          </reference>
        </references>
      </pivotArea>
    </chartFormat>
    <chartFormat chart="4" format="36" series="1">
      <pivotArea type="data" outline="0" fieldPosition="0">
        <references count="2">
          <reference field="4294967294" count="1" selected="0">
            <x v="0"/>
          </reference>
          <reference field="15" count="1" selected="0">
            <x v="1"/>
          </reference>
        </references>
      </pivotArea>
    </chartFormat>
    <chartFormat chart="21" format="4" series="1">
      <pivotArea type="data" outline="0" fieldPosition="0">
        <references count="2">
          <reference field="4294967294" count="1" selected="0">
            <x v="0"/>
          </reference>
          <reference field="15" count="1" selected="0">
            <x v="0"/>
          </reference>
        </references>
      </pivotArea>
    </chartFormat>
    <chartFormat chart="21"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A07726A-F713-4983-B694-CDDF3EA1CB68}"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B19" firstHeaderRow="1" firstDataRow="1" firstDataCol="1"/>
  <pivotFields count="22">
    <pivotField dataField="1" showAll="0"/>
    <pivotField showAll="0"/>
    <pivotField showAll="0"/>
    <pivotField showAll="0">
      <items count="3">
        <item x="0"/>
        <item x="1"/>
        <item t="default"/>
      </items>
    </pivotField>
    <pivotField numFmtId="14" showAll="0">
      <items count="16">
        <item x="0"/>
        <item x="1"/>
        <item x="2"/>
        <item x="3"/>
        <item x="4"/>
        <item x="5"/>
        <item x="6"/>
        <item x="7"/>
        <item x="8"/>
        <item x="9"/>
        <item x="10"/>
        <item x="11"/>
        <item x="12"/>
        <item x="13"/>
        <item x="14"/>
        <item t="default"/>
      </items>
    </pivotField>
    <pivotField numFmtId="14" showAll="0">
      <items count="16">
        <item x="0"/>
        <item x="1"/>
        <item x="2"/>
        <item x="3"/>
        <item x="4"/>
        <item x="5"/>
        <item x="6"/>
        <item x="7"/>
        <item x="8"/>
        <item x="9"/>
        <item x="10"/>
        <item x="11"/>
        <item x="12"/>
        <item x="13"/>
        <item x="14"/>
        <item t="default"/>
      </items>
    </pivotField>
    <pivotField showAll="0">
      <items count="8">
        <item x="1"/>
        <item x="6"/>
        <item x="4"/>
        <item x="2"/>
        <item x="5"/>
        <item x="0"/>
        <item x="3"/>
        <item t="default"/>
      </items>
    </pivotField>
    <pivotField showAll="0"/>
    <pivotField showAll="0">
      <items count="6">
        <item x="4"/>
        <item x="1"/>
        <item x="2"/>
        <item x="3"/>
        <item x="0"/>
        <item t="default"/>
      </items>
    </pivotField>
    <pivotField showAll="0"/>
    <pivotField showAll="0"/>
    <pivotField showAll="0">
      <items count="4">
        <item x="2"/>
        <item x="0"/>
        <item x="1"/>
        <item t="default"/>
      </items>
    </pivotField>
    <pivotField showAll="0"/>
    <pivotField showAll="0"/>
    <pivotField showAll="0"/>
    <pivotField showAll="0">
      <items count="3">
        <item x="0"/>
        <item x="1"/>
        <item t="default"/>
      </items>
    </pivotField>
    <pivotField axis="axisRow" showAll="0">
      <items count="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3">
    <i>
      <x/>
    </i>
    <i>
      <x v="1"/>
    </i>
    <i t="grand">
      <x/>
    </i>
  </rowItems>
  <colItems count="1">
    <i/>
  </colItems>
  <dataFields count="1">
    <dataField name="Count of Patient ID" fld="0" subtotal="count" baseField="14" baseItem="0"/>
  </dataFields>
  <formats count="2">
    <format dxfId="557">
      <pivotArea outline="0" collapsedLevelsAreSubtotals="1" fieldPosition="0"/>
    </format>
    <format dxfId="556">
      <pivotArea dataOnly="0" labelOnly="1" outline="0" axis="axisValues" fieldPosition="0"/>
    </format>
  </format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6" count="1" selected="0">
            <x v="0"/>
          </reference>
        </references>
      </pivotArea>
    </chartFormat>
    <chartFormat chart="3" format="6">
      <pivotArea type="data" outline="0" fieldPosition="0">
        <references count="2">
          <reference field="4294967294" count="1" selected="0">
            <x v="0"/>
          </reference>
          <reference field="16"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6" count="1" selected="0">
            <x v="0"/>
          </reference>
        </references>
      </pivotArea>
    </chartFormat>
    <chartFormat chart="8"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45D719E-D5AC-452E-A578-A15819EC6996}" name="PivotTable2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45:K52" firstHeaderRow="1" firstDataRow="1" firstDataCol="1"/>
  <pivotFields count="18">
    <pivotField dataField="1" showAll="0">
      <items count="16">
        <item x="0"/>
        <item x="1"/>
        <item x="2"/>
        <item x="3"/>
        <item x="4"/>
        <item x="5"/>
        <item x="6"/>
        <item x="7"/>
        <item x="8"/>
        <item x="9"/>
        <item x="10"/>
        <item x="11"/>
        <item x="12"/>
        <item x="13"/>
        <item x="14"/>
        <item t="default"/>
      </items>
    </pivotField>
    <pivotField showAll="0">
      <items count="16">
        <item x="4"/>
        <item x="0"/>
        <item x="6"/>
        <item x="13"/>
        <item x="2"/>
        <item x="9"/>
        <item x="8"/>
        <item x="3"/>
        <item x="12"/>
        <item x="7"/>
        <item x="14"/>
        <item x="1"/>
        <item x="10"/>
        <item x="5"/>
        <item x="11"/>
        <item t="default"/>
      </items>
    </pivotField>
    <pivotField axis="axisRow" showAll="0">
      <items count="7">
        <item x="0"/>
        <item x="2"/>
        <item x="3"/>
        <item x="5"/>
        <item x="1"/>
        <item x="4"/>
        <item t="default"/>
      </items>
    </pivotField>
    <pivotField showAll="0">
      <items count="3">
        <item x="0"/>
        <item x="1"/>
        <item t="default"/>
      </items>
    </pivotField>
    <pivotField numFmtId="14" showAll="0"/>
    <pivotField numFmtId="14" showAll="0"/>
    <pivotField showAll="0"/>
    <pivotField showAll="0"/>
    <pivotField showAll="0"/>
    <pivotField showAll="0"/>
    <pivotField numFmtId="42"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Patient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82B8DFA-F001-4CEC-896C-8F7BF1886834}" sourceName="Department">
  <pivotTables>
    <pivotTable tabId="5" name="PivotTable2"/>
    <pivotTable tabId="5" name="PivotTable3"/>
    <pivotTable tabId="5" name="PivotTable4"/>
    <pivotTable tabId="5" name="PivotTable5"/>
    <pivotTable tabId="5" name="PivotTable6"/>
    <pivotTable tabId="5" name="PivotTable7"/>
    <pivotTable tabId="5" name="PivotTable21"/>
    <pivotTable tabId="5" name="PivotTable8"/>
    <pivotTable tabId="5" name="PivotTable9"/>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s>
  <data>
    <tabular pivotCacheId="2127515924">
      <items count="7">
        <i x="1" s="1"/>
        <i x="6" s="1"/>
        <i x="4" s="1"/>
        <i x="2" s="1"/>
        <i x="5" s="1"/>
        <i x="0"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BFC0B79-D5C4-4E54-B2B6-2F304276CA08}" sourceName="Gender">
  <pivotTables>
    <pivotTable tabId="5" name="PivotTable2"/>
    <pivotTable tabId="5" name="PivotTable3"/>
    <pivotTable tabId="5" name="PivotTable4"/>
    <pivotTable tabId="5" name="PivotTable5"/>
    <pivotTable tabId="5" name="PivotTable6"/>
    <pivotTable tabId="5" name="PivotTable7"/>
    <pivotTable tabId="5" name="PivotTable21"/>
    <pivotTable tabId="5" name="PivotTable8"/>
    <pivotTable tabId="5" name="PivotTable9"/>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s>
  <data>
    <tabular pivotCacheId="212751592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160F8E69-6480-4FBC-A909-D77506AC6634}" sourceName="Treatment Type">
  <pivotTables>
    <pivotTable tabId="5" name="PivotTable2"/>
    <pivotTable tabId="5" name="PivotTable3"/>
    <pivotTable tabId="5" name="PivotTable4"/>
    <pivotTable tabId="5" name="PivotTable5"/>
    <pivotTable tabId="5" name="PivotTable6"/>
    <pivotTable tabId="5" name="PivotTable7"/>
    <pivotTable tabId="5" name="PivotTable21"/>
    <pivotTable tabId="5" name="PivotTable8"/>
    <pivotTable tabId="5" name="PivotTable9"/>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s>
  <data>
    <tabular pivotCacheId="2127515924">
      <items count="5">
        <i x="4" s="1"/>
        <i x="1" s="1"/>
        <i x="2" s="1"/>
        <i x="3"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B0AE58C-B0B6-4CB5-8591-B8065B89194B}" sourceName="Payment Method">
  <pivotTables>
    <pivotTable tabId="5" name="PivotTable2"/>
    <pivotTable tabId="5" name="PivotTable3"/>
    <pivotTable tabId="5" name="PivotTable4"/>
    <pivotTable tabId="5" name="PivotTable5"/>
    <pivotTable tabId="5" name="PivotTable6"/>
    <pivotTable tabId="5" name="PivotTable7"/>
    <pivotTable tabId="5" name="PivotTable21"/>
    <pivotTable tabId="5" name="PivotTable8"/>
    <pivotTable tabId="5" name="PivotTable9"/>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s>
  <data>
    <tabular pivotCacheId="2127515924">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dmission" xr10:uid="{E0072048-C42A-4700-B483-86290319EF55}" sourceName="Readmission">
  <pivotTables>
    <pivotTable tabId="5" name="PivotTable2"/>
    <pivotTable tabId="5" name="PivotTable3"/>
    <pivotTable tabId="5" name="PivotTable4"/>
    <pivotTable tabId="5" name="PivotTable5"/>
    <pivotTable tabId="5" name="PivotTable6"/>
    <pivotTable tabId="5" name="PivotTable7"/>
    <pivotTable tabId="5" name="PivotTable21"/>
    <pivotTable tabId="5" name="PivotTable8"/>
    <pivotTable tabId="5" name="PivotTable9"/>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s>
  <data>
    <tabular pivotCacheId="212751592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FAF5A6D2-E249-4266-905B-D6987E41C9F3}" cache="Slicer_Department" caption="Department" style="SlicerStyleDark1" rowHeight="182880"/>
  <slicer name="Gender 1" xr10:uid="{733D1CC7-6B0C-465F-AC66-BEC72CCED9BF}" cache="Slicer_Gender" caption="Gender" style="SlicerStyleDark1" rowHeight="182880"/>
  <slicer name="Treatment Type 1" xr10:uid="{5FB36AF1-5CB7-4F41-A30F-E978688C3EBE}" cache="Slicer_Treatment_Type" caption="Treatment Type" style="SlicerStyleDark1" rowHeight="182880"/>
  <slicer name="Payment Method 2" xr10:uid="{E8E4D6FB-211C-41D4-89C4-56F2192DD3C5}" cache="Slicer_Payment_Method" caption="Payment Method" style="SlicerStyleDark1" rowHeight="182880"/>
  <slicer name="Readmission 1" xr10:uid="{F83A6A1D-2F41-4F8A-8DA7-33CA07C2A03E}" cache="Slicer_Readmission" caption="Readmission"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A88C0E0D-E722-4BEF-A820-BA34EC53FE89}" cache="Slicer_Department" caption="Department" showCaption="0" style="SlicerStyleLight1 2" rowHeight="241300"/>
  <slicer name="Treatment Type 2" xr10:uid="{5E5AA819-82D8-498C-99F9-041F8230E364}" cache="Slicer_Treatment_Type" caption="Treatment Type" showCaption="0" style="SlicerStyleLight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4DFCEB1-0363-44B1-806D-D5650DD642CD}" cache="Slicer_Department" caption="Department" style="SlicerStyleLight3" rowHeight="182880"/>
  <slicer name="Gender" xr10:uid="{3F80199D-B781-43D1-A657-5A0E5B6B5C04}" cache="Slicer_Gender" caption="Gender" style="SlicerStyleOther1" rowHeight="241300"/>
  <slicer name="Treatment Type" xr10:uid="{20D6D9C1-CB09-4CF6-BF29-548F3D579CBD}" cache="Slicer_Treatment_Type" caption="Treatment Type" style="SlicerStyleOther1" rowHeight="182880"/>
  <slicer name="Payment Method" xr10:uid="{0390B89C-FC0F-406B-96B8-337BC0F5FAD5}" cache="Slicer_Payment_Method" caption="Payment Method" style="SlicerStyleOther1" rowHeight="241300"/>
  <slicer name="Readmission" xr10:uid="{32E205D7-D4A3-429E-B252-BFCBC3A20429}" cache="Slicer_Readmission" caption="Readmission"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265CA6-997B-49B4-9B88-9175F1B2FE6C}" name="Table2" displayName="Table2" ref="A1:R16" totalsRowShown="0" headerRowDxfId="499" dataDxfId="498" tableBorderDxfId="497">
  <autoFilter ref="A1:R16" xr:uid="{C1265CA6-997B-49B4-9B88-9175F1B2FE6C}"/>
  <tableColumns count="18">
    <tableColumn id="1" xr3:uid="{A395C673-C5D2-4348-A698-2EB0EBE65B17}" name="Patient ID" dataDxfId="496"/>
    <tableColumn id="2" xr3:uid="{C83BBDD3-10AD-4D14-95EE-F5FE75AA349A}" name="Age" dataDxfId="495"/>
    <tableColumn id="3" xr3:uid="{1D674275-F652-4E15-9E4B-A9028AF832B5}" name="Age Group" dataDxfId="494">
      <calculatedColumnFormula array="1">_xlfn.IFS('source Data'!$B2&lt;=25,"18-25",'source Data'!$B2&lt;=35,"26-35",'source Data'!$B2&lt;=45,"36-45",'source Data'!$B2&lt;=55,"46-55",'source Data'!$B2&lt;=65,"56-65",'source Data'!$B2&lt;=80,"66-80")</calculatedColumnFormula>
    </tableColumn>
    <tableColumn id="4" xr3:uid="{54FBCD68-F172-4898-9530-A42CD2C59DEE}" name="Gender" dataDxfId="493"/>
    <tableColumn id="5" xr3:uid="{FCB59542-2326-4915-BAE4-AAA838B24DB6}" name="Admission Date" dataDxfId="492"/>
    <tableColumn id="6" xr3:uid="{423DB9DE-C250-47E7-84BA-0BF34A153A82}" name="Discharge Date" dataDxfId="491"/>
    <tableColumn id="7" xr3:uid="{07C6B4B7-0DB0-44FF-9DA5-BC52F0B2B7FB}" name="Department" dataDxfId="490"/>
    <tableColumn id="8" xr3:uid="{734E8EB1-940A-4A6D-BF01-0714B9171AF7}" name="Diagnosis" dataDxfId="489"/>
    <tableColumn id="9" xr3:uid="{4BB14AEB-96DA-4F31-9DFF-5BE27794BFE5}" name="Treatment Type" dataDxfId="488"/>
    <tableColumn id="10" xr3:uid="{42604C70-D623-499E-B206-E04A6716F613}" name="Length of Stay" dataDxfId="487"/>
    <tableColumn id="11" xr3:uid="{2BE71B6D-3AC0-4882-AE8B-02BDC8942543}" name="Total Bill Amount" dataDxfId="486" dataCellStyle="Currency"/>
    <tableColumn id="12" xr3:uid="{5192B58B-EF38-4C7E-A2EA-E1EDAD3780B0}" name="Payment Method" dataDxfId="485"/>
    <tableColumn id="13" xr3:uid="{5A6BBB81-B661-4A05-B664-0633DF0332A7}" name="Insurance Provider" dataDxfId="484"/>
    <tableColumn id="14" xr3:uid="{56626281-8E59-494A-88F5-84E0BB8F51C7}" name="Insurance Status" dataDxfId="483">
      <calculatedColumnFormula>IF('source Data'!$M2="None","Not Insured","Insured")</calculatedColumnFormula>
    </tableColumn>
    <tableColumn id="15" xr3:uid="{26B507BD-34C2-47B2-BED2-CF482EBB6745}" name="Satisfaction Score" dataDxfId="482"/>
    <tableColumn id="16" xr3:uid="{E77C9F40-68CF-4D26-937E-A04641219697}" name="Readmission" dataDxfId="481"/>
    <tableColumn id="17" xr3:uid="{E941713D-9BCB-4990-AC34-2093FC7F5D9D}" name="Emergency Admission" dataDxfId="480"/>
    <tableColumn id="18" xr3:uid="{288515F1-4A5A-4170-8EBC-AAE06ADEF5BD}" name="Mortality Status" dataDxfId="479"/>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Custom 2">
      <a:dk1>
        <a:srgbClr val="6BC606"/>
      </a:dk1>
      <a:lt1>
        <a:srgbClr val="00B050"/>
      </a:lt1>
      <a:dk2>
        <a:srgbClr val="B7FD5B"/>
      </a:dk2>
      <a:lt2>
        <a:srgbClr val="E7E6E6"/>
      </a:lt2>
      <a:accent1>
        <a:srgbClr val="356302"/>
      </a:accent1>
      <a:accent2>
        <a:srgbClr val="0C6038"/>
      </a:accent2>
      <a:accent3>
        <a:srgbClr val="5FDDA0"/>
      </a:accent3>
      <a:accent4>
        <a:srgbClr val="4EA47B"/>
      </a:accent4>
      <a:accent5>
        <a:srgbClr val="B8FD59"/>
      </a:accent5>
      <a:accent6>
        <a:srgbClr val="6BC606"/>
      </a:accent6>
      <a:hlink>
        <a:srgbClr val="1A1E1F"/>
      </a:hlink>
      <a:folHlink>
        <a:srgbClr val="F2FDDE"/>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2ACD-6311-4818-A501-499E21F02830}">
  <dimension ref="A1:J128"/>
  <sheetViews>
    <sheetView workbookViewId="0">
      <selection activeCell="B7" sqref="B7"/>
    </sheetView>
  </sheetViews>
  <sheetFormatPr defaultRowHeight="15" x14ac:dyDescent="0.25"/>
  <cols>
    <col min="1" max="1" width="135.140625" bestFit="1" customWidth="1"/>
    <col min="2" max="2" width="15.140625" bestFit="1" customWidth="1"/>
  </cols>
  <sheetData>
    <row r="1" spans="1:10" ht="23.25" x14ac:dyDescent="0.35">
      <c r="A1" s="10" t="s">
        <v>69</v>
      </c>
      <c r="B1" s="11">
        <f>AVERAGE('source Data'!$J$1:$J$16)</f>
        <v>5.6</v>
      </c>
      <c r="C1" s="11"/>
      <c r="D1" s="11"/>
      <c r="E1" s="11"/>
      <c r="F1" s="11"/>
      <c r="G1" s="11"/>
      <c r="H1" s="11"/>
      <c r="I1" s="11"/>
      <c r="J1" s="11"/>
    </row>
    <row r="2" spans="1:10" ht="23.25" x14ac:dyDescent="0.35">
      <c r="A2" s="10" t="s">
        <v>70</v>
      </c>
      <c r="B2" s="11" t="str" cm="1">
        <f t="array" ref="B2">INDEX('source Data'!$G$2:$G$16,_xlfn.MODE.SNGL(MATCH('source Data'!$G$2:$G$16,'source Data'!$G$2:$G$16,0)))</f>
        <v>Cardiology</v>
      </c>
      <c r="C2" s="11"/>
      <c r="D2" s="11"/>
      <c r="E2" s="11"/>
      <c r="F2" s="11"/>
      <c r="G2" s="11"/>
      <c r="H2" s="11"/>
      <c r="I2" s="11"/>
      <c r="J2" s="11"/>
    </row>
    <row r="3" spans="1:10" ht="23.25" x14ac:dyDescent="0.35">
      <c r="A3" s="10" t="s">
        <v>71</v>
      </c>
      <c r="B3" s="11">
        <f>SUM('source Data'!$K$2:$K$16)</f>
        <v>76850</v>
      </c>
      <c r="C3" s="11" t="s">
        <v>90</v>
      </c>
      <c r="D3" s="11"/>
      <c r="E3" s="11"/>
      <c r="F3" s="11"/>
      <c r="G3" s="11"/>
      <c r="H3" s="11"/>
      <c r="I3" s="11"/>
      <c r="J3" s="11"/>
    </row>
    <row r="4" spans="1:10" ht="23.25" x14ac:dyDescent="0.35">
      <c r="A4" s="10" t="s">
        <v>72</v>
      </c>
      <c r="B4" s="11">
        <f>AVERAGE('source Data'!$O$2:$O$16)</f>
        <v>7.8666666666666663</v>
      </c>
      <c r="C4" s="11" t="s">
        <v>90</v>
      </c>
      <c r="D4" s="11"/>
      <c r="E4" s="11"/>
      <c r="F4" s="11"/>
      <c r="G4" s="11"/>
      <c r="H4" s="11"/>
      <c r="I4" s="11"/>
      <c r="J4" s="11"/>
    </row>
    <row r="5" spans="1:10" ht="23.25" x14ac:dyDescent="0.35">
      <c r="A5" s="10" t="s">
        <v>73</v>
      </c>
      <c r="B5" s="14">
        <f>COUNTIFS('source Data'!$Q$2:$Q$16,"Yes")/COUNTA('source Data'!$A$2:$A$16)</f>
        <v>0.26666666666666666</v>
      </c>
      <c r="C5" s="11"/>
      <c r="D5" s="11"/>
      <c r="E5" s="11"/>
      <c r="F5" s="11"/>
      <c r="G5" s="11"/>
      <c r="H5" s="11"/>
      <c r="I5" s="11"/>
      <c r="J5" s="11"/>
    </row>
    <row r="6" spans="1:10" ht="23.25" x14ac:dyDescent="0.35">
      <c r="A6" s="10" t="s">
        <v>74</v>
      </c>
      <c r="B6" s="14">
        <f>COUNTIFS('source Data'!$R$2:$R$16,"Deceased")/COUNTA('source Data'!$A$2:$A$16)</f>
        <v>0.13333333333333333</v>
      </c>
      <c r="C6" s="11"/>
      <c r="D6" s="11"/>
      <c r="E6" s="11"/>
      <c r="F6" s="11"/>
      <c r="G6" s="11"/>
      <c r="H6" s="11"/>
      <c r="I6" s="11"/>
      <c r="J6" s="11"/>
    </row>
    <row r="7" spans="1:10" ht="23.25" x14ac:dyDescent="0.35">
      <c r="A7" s="10" t="s">
        <v>77</v>
      </c>
      <c r="B7" s="11">
        <f>AVERAGE('source Data'!$O$2:$O$16)</f>
        <v>7.8666666666666663</v>
      </c>
      <c r="C7" s="11"/>
      <c r="D7" s="11"/>
      <c r="E7" s="11"/>
      <c r="F7" s="11"/>
      <c r="G7" s="11"/>
      <c r="H7" s="11"/>
      <c r="I7" s="11"/>
      <c r="J7" s="11"/>
    </row>
    <row r="8" spans="1:10" ht="23.25" x14ac:dyDescent="0.35">
      <c r="A8" s="10" t="s">
        <v>78</v>
      </c>
      <c r="B8" s="11" t="str" cm="1">
        <f t="array" ref="B8">INDEX('source Data'!$L$2:$L$16,_xlfn.MODE.SNGL(MATCH('source Data'!$L$2:$L$16,'source Data'!$L$2:$L$16,0)))</f>
        <v>Insurance</v>
      </c>
      <c r="C8" s="11"/>
      <c r="D8" s="11"/>
      <c r="E8" s="11"/>
      <c r="F8" s="11"/>
      <c r="G8" s="11"/>
      <c r="H8" s="11"/>
      <c r="I8" s="11"/>
      <c r="J8" s="11"/>
    </row>
    <row r="9" spans="1:10" ht="23.25" x14ac:dyDescent="0.35">
      <c r="A9" s="10" t="s">
        <v>75</v>
      </c>
      <c r="B9" s="11">
        <f>AVERAGEIFS('source Data'!$K$2:$K$16,'source Data'!$N$2:$N$16,'source Data'!N3)</f>
        <v>9012.5</v>
      </c>
      <c r="C9" s="11">
        <f>AVERAGEIFS('source Data'!$K$2:$K$16,'source Data'!$N$2:$N$16,'source Data'!N2)</f>
        <v>678.57142857142856</v>
      </c>
      <c r="D9" s="11"/>
      <c r="E9" s="11"/>
      <c r="F9" s="11"/>
      <c r="G9" s="11"/>
      <c r="H9" s="11"/>
      <c r="I9" s="11"/>
      <c r="J9" s="11"/>
    </row>
    <row r="10" spans="1:10" ht="23.25" x14ac:dyDescent="0.35">
      <c r="A10" s="10" t="s">
        <v>76</v>
      </c>
      <c r="B10" s="11"/>
      <c r="C10" s="11"/>
      <c r="D10" s="11"/>
      <c r="E10" s="11"/>
      <c r="F10" s="11"/>
      <c r="G10" s="11"/>
      <c r="H10" s="11"/>
      <c r="I10" s="11"/>
      <c r="J10" s="11"/>
    </row>
    <row r="11" spans="1:10" ht="23.25" x14ac:dyDescent="0.35">
      <c r="A11" s="10" t="s">
        <v>79</v>
      </c>
      <c r="B11" s="11"/>
      <c r="C11" s="11"/>
      <c r="D11" s="11"/>
      <c r="E11" s="11"/>
      <c r="F11" s="11"/>
      <c r="G11" s="11"/>
      <c r="H11" s="11"/>
      <c r="I11" s="11"/>
      <c r="J11" s="11"/>
    </row>
    <row r="12" spans="1:10" ht="23.25" x14ac:dyDescent="0.35">
      <c r="A12" s="12"/>
      <c r="B12" s="11"/>
      <c r="C12" s="11"/>
      <c r="D12" s="11"/>
      <c r="E12" s="11"/>
      <c r="F12" s="11"/>
      <c r="G12" s="11"/>
      <c r="H12" s="11"/>
      <c r="I12" s="11"/>
      <c r="J12" s="11"/>
    </row>
    <row r="13" spans="1:10" ht="23.25" x14ac:dyDescent="0.35">
      <c r="A13" s="12"/>
      <c r="B13" s="11"/>
      <c r="C13" s="11"/>
      <c r="D13" s="11"/>
      <c r="E13" s="11"/>
      <c r="F13" s="11"/>
      <c r="G13" s="11"/>
      <c r="H13" s="11"/>
      <c r="I13" s="11"/>
      <c r="J13" s="11"/>
    </row>
    <row r="14" spans="1:10" x14ac:dyDescent="0.25">
      <c r="A14" s="7"/>
    </row>
    <row r="15" spans="1:10" x14ac:dyDescent="0.25">
      <c r="A15" s="7"/>
    </row>
    <row r="16" spans="1:10" x14ac:dyDescent="0.25">
      <c r="A16" s="7"/>
    </row>
    <row r="17" spans="1:1" x14ac:dyDescent="0.25">
      <c r="A17" s="7"/>
    </row>
    <row r="18" spans="1:1" x14ac:dyDescent="0.25">
      <c r="A18" s="7"/>
    </row>
    <row r="20" spans="1:1" x14ac:dyDescent="0.25">
      <c r="A20" s="5"/>
    </row>
    <row r="24" spans="1:1" ht="15.75" x14ac:dyDescent="0.25">
      <c r="A24" s="3"/>
    </row>
    <row r="25" spans="1:1" x14ac:dyDescent="0.25">
      <c r="A25" s="4"/>
    </row>
    <row r="26" spans="1:1" x14ac:dyDescent="0.25">
      <c r="A26" s="6"/>
    </row>
    <row r="27" spans="1:1" x14ac:dyDescent="0.25">
      <c r="A27" s="6"/>
    </row>
    <row r="31" spans="1:1" ht="15.75" x14ac:dyDescent="0.25">
      <c r="A31" s="3"/>
    </row>
    <row r="32" spans="1:1" x14ac:dyDescent="0.25">
      <c r="A32" s="4"/>
    </row>
    <row r="33" spans="1:1" x14ac:dyDescent="0.25">
      <c r="A33" s="6"/>
    </row>
    <row r="34" spans="1:1" x14ac:dyDescent="0.25">
      <c r="A34" s="6"/>
    </row>
    <row r="38" spans="1:1" ht="15.75" x14ac:dyDescent="0.25">
      <c r="A38" s="3"/>
    </row>
    <row r="39" spans="1:1" x14ac:dyDescent="0.25">
      <c r="A39" s="4"/>
    </row>
    <row r="40" spans="1:1" x14ac:dyDescent="0.25">
      <c r="A40" s="6"/>
    </row>
    <row r="41" spans="1:1" x14ac:dyDescent="0.25">
      <c r="A41" s="6"/>
    </row>
    <row r="42" spans="1:1" x14ac:dyDescent="0.25">
      <c r="A42" s="8"/>
    </row>
    <row r="43" spans="1:1" x14ac:dyDescent="0.25">
      <c r="A43" s="8"/>
    </row>
    <row r="47" spans="1:1" ht="15.75" x14ac:dyDescent="0.25">
      <c r="A47" s="3"/>
    </row>
    <row r="48" spans="1:1" x14ac:dyDescent="0.25">
      <c r="A48" s="4"/>
    </row>
    <row r="49" spans="1:1" x14ac:dyDescent="0.25">
      <c r="A49" s="6"/>
    </row>
    <row r="50" spans="1:1" x14ac:dyDescent="0.25">
      <c r="A50" s="6"/>
    </row>
    <row r="51" spans="1:1" x14ac:dyDescent="0.25">
      <c r="A51" s="8"/>
    </row>
    <row r="52" spans="1:1" x14ac:dyDescent="0.25">
      <c r="A52" s="8"/>
    </row>
    <row r="56" spans="1:1" ht="15.75" x14ac:dyDescent="0.25">
      <c r="A56" s="3"/>
    </row>
    <row r="57" spans="1:1" x14ac:dyDescent="0.25">
      <c r="A57" s="4"/>
    </row>
    <row r="58" spans="1:1" x14ac:dyDescent="0.25">
      <c r="A58" s="6"/>
    </row>
    <row r="59" spans="1:1" x14ac:dyDescent="0.25">
      <c r="A59" s="6"/>
    </row>
    <row r="60" spans="1:1" x14ac:dyDescent="0.25">
      <c r="A60" s="7"/>
    </row>
    <row r="61" spans="1:1" x14ac:dyDescent="0.25">
      <c r="A61" s="7"/>
    </row>
    <row r="62" spans="1:1" x14ac:dyDescent="0.25">
      <c r="A62" s="7"/>
    </row>
    <row r="64" spans="1:1" x14ac:dyDescent="0.25">
      <c r="A64" s="5"/>
    </row>
    <row r="68" spans="1:1" ht="15.75" x14ac:dyDescent="0.25">
      <c r="A68" s="3"/>
    </row>
    <row r="69" spans="1:1" x14ac:dyDescent="0.25">
      <c r="A69" s="4"/>
    </row>
    <row r="70" spans="1:1" x14ac:dyDescent="0.25">
      <c r="A70" s="6"/>
    </row>
    <row r="71" spans="1:1" x14ac:dyDescent="0.25">
      <c r="A71" s="6"/>
    </row>
    <row r="72" spans="1:1" x14ac:dyDescent="0.25">
      <c r="A72" s="8"/>
    </row>
    <row r="73" spans="1:1" x14ac:dyDescent="0.25">
      <c r="A73" s="8"/>
    </row>
    <row r="77" spans="1:1" ht="15.75" x14ac:dyDescent="0.25">
      <c r="A77" s="3"/>
    </row>
    <row r="78" spans="1:1" x14ac:dyDescent="0.25">
      <c r="A78" s="4"/>
    </row>
    <row r="79" spans="1:1" x14ac:dyDescent="0.25">
      <c r="A79" s="6"/>
    </row>
    <row r="80" spans="1:1" x14ac:dyDescent="0.25">
      <c r="A80" s="6"/>
    </row>
    <row r="81" spans="1:1" x14ac:dyDescent="0.25">
      <c r="A81" s="8"/>
    </row>
    <row r="82" spans="1:1" x14ac:dyDescent="0.25">
      <c r="A82" s="8"/>
    </row>
    <row r="84" spans="1:1" x14ac:dyDescent="0.25">
      <c r="A84" s="5"/>
    </row>
    <row r="85" spans="1:1" x14ac:dyDescent="0.25">
      <c r="A85" s="4"/>
    </row>
    <row r="86" spans="1:1" x14ac:dyDescent="0.25">
      <c r="A86" s="4"/>
    </row>
    <row r="87" spans="1:1" x14ac:dyDescent="0.25">
      <c r="A87" s="4"/>
    </row>
    <row r="91" spans="1:1" ht="15.75" x14ac:dyDescent="0.25">
      <c r="A91" s="3"/>
    </row>
    <row r="92" spans="1:1" x14ac:dyDescent="0.25">
      <c r="A92" s="4"/>
    </row>
    <row r="93" spans="1:1" x14ac:dyDescent="0.25">
      <c r="A93" s="6"/>
    </row>
    <row r="94" spans="1:1" x14ac:dyDescent="0.25">
      <c r="A94" s="7"/>
    </row>
    <row r="95" spans="1:1" x14ac:dyDescent="0.25">
      <c r="A95" s="7"/>
    </row>
    <row r="96" spans="1:1" x14ac:dyDescent="0.25">
      <c r="A96" s="7"/>
    </row>
    <row r="97" spans="1:1" x14ac:dyDescent="0.25">
      <c r="A97" s="7"/>
    </row>
    <row r="99" spans="1:1" x14ac:dyDescent="0.25">
      <c r="A99" s="5"/>
    </row>
    <row r="103" spans="1:1" ht="15.75" x14ac:dyDescent="0.25">
      <c r="A103" s="3"/>
    </row>
    <row r="104" spans="1:1" x14ac:dyDescent="0.25">
      <c r="A104" s="4"/>
    </row>
    <row r="105" spans="1:1" x14ac:dyDescent="0.25">
      <c r="A105" s="6"/>
    </row>
    <row r="106" spans="1:1" x14ac:dyDescent="0.25">
      <c r="A106" s="6"/>
    </row>
    <row r="107" spans="1:1" x14ac:dyDescent="0.25">
      <c r="A107" s="8"/>
    </row>
    <row r="108" spans="1:1" x14ac:dyDescent="0.25">
      <c r="A108" s="8"/>
    </row>
    <row r="110" spans="1:1" x14ac:dyDescent="0.25">
      <c r="A110" s="5"/>
    </row>
    <row r="111" spans="1:1" x14ac:dyDescent="0.25">
      <c r="A111" s="4"/>
    </row>
    <row r="112" spans="1:1" x14ac:dyDescent="0.25">
      <c r="A112" s="4"/>
    </row>
    <row r="113" spans="1:1" x14ac:dyDescent="0.25">
      <c r="A113" s="4"/>
    </row>
    <row r="117" spans="1:1" ht="15.75" x14ac:dyDescent="0.25">
      <c r="A117" s="3"/>
    </row>
    <row r="118" spans="1:1" x14ac:dyDescent="0.25">
      <c r="A118" s="4"/>
    </row>
    <row r="119" spans="1:1" x14ac:dyDescent="0.25">
      <c r="A119" s="6"/>
    </row>
    <row r="120" spans="1:1" x14ac:dyDescent="0.25">
      <c r="A120" s="6"/>
    </row>
    <row r="121" spans="1:1" x14ac:dyDescent="0.25">
      <c r="A121" s="7"/>
    </row>
    <row r="122" spans="1:1" x14ac:dyDescent="0.25">
      <c r="A122" s="7"/>
    </row>
    <row r="123" spans="1:1" x14ac:dyDescent="0.25">
      <c r="A123" s="7"/>
    </row>
    <row r="124" spans="1:1" x14ac:dyDescent="0.25">
      <c r="A124" s="7"/>
    </row>
    <row r="128" spans="1:1" x14ac:dyDescent="0.25">
      <c r="A128"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156B1-7758-4F4F-8042-255224FF5D20}">
  <dimension ref="A1:T76"/>
  <sheetViews>
    <sheetView topLeftCell="A22" workbookViewId="0">
      <selection activeCell="D38" sqref="D38"/>
    </sheetView>
  </sheetViews>
  <sheetFormatPr defaultRowHeight="15" x14ac:dyDescent="0.25"/>
  <cols>
    <col min="1" max="1" width="13.140625" style="13" bestFit="1" customWidth="1"/>
    <col min="2" max="2" width="23.28515625" style="24" bestFit="1" customWidth="1"/>
    <col min="3" max="3" width="9.140625" style="13"/>
    <col min="4" max="4" width="18" style="24" bestFit="1" customWidth="1"/>
    <col min="5" max="5" width="16.28515625" style="24" bestFit="1" customWidth="1"/>
    <col min="6" max="6" width="4.140625" style="13" bestFit="1" customWidth="1"/>
    <col min="7" max="7" width="11.28515625" style="24" bestFit="1" customWidth="1"/>
    <col min="8" max="8" width="20.5703125" style="13" bestFit="1" customWidth="1"/>
    <col min="9" max="9" width="13.140625" style="13" bestFit="1" customWidth="1"/>
    <col min="10" max="10" width="13.140625" style="24" bestFit="1" customWidth="1"/>
    <col min="11" max="11" width="23.28515625" style="13" bestFit="1" customWidth="1"/>
    <col min="12" max="13" width="18" style="24" bestFit="1" customWidth="1"/>
    <col min="14" max="14" width="18" style="13" bestFit="1" customWidth="1"/>
    <col min="15" max="15" width="23.85546875" style="24" bestFit="1" customWidth="1"/>
    <col min="16" max="16" width="10.140625" style="13" bestFit="1" customWidth="1"/>
    <col min="17" max="17" width="6.7109375" style="13" bestFit="1" customWidth="1"/>
    <col min="18" max="18" width="11.28515625" style="13" bestFit="1" customWidth="1"/>
    <col min="19" max="19" width="9" style="13" bestFit="1" customWidth="1"/>
    <col min="20" max="20" width="11.28515625" style="13" bestFit="1" customWidth="1"/>
    <col min="21" max="16384" width="9.140625" style="13"/>
  </cols>
  <sheetData>
    <row r="1" spans="1:13" x14ac:dyDescent="0.25">
      <c r="A1" s="13" t="s">
        <v>99</v>
      </c>
    </row>
    <row r="2" spans="1:13" x14ac:dyDescent="0.25">
      <c r="I2" s="13" t="str">
        <f>"Top Department: " &amp; INDEX(ANALYSIS!I4:I10,MATCH(MAX(ANALYSIS!J4:J10),ANALYSIS!J4:J10,0)) &amp; "(" &amp; MAX(ANALYSIS!J4:J10) &amp; "patients)"</f>
        <v>Top Department: Cardiology(4patients)</v>
      </c>
    </row>
    <row r="3" spans="1:13" x14ac:dyDescent="0.25">
      <c r="A3" s="15" t="s">
        <v>82</v>
      </c>
      <c r="B3" s="34" t="s">
        <v>85</v>
      </c>
      <c r="D3" s="15" t="s">
        <v>82</v>
      </c>
      <c r="E3" s="34" t="s">
        <v>84</v>
      </c>
      <c r="G3" s="15" t="s">
        <v>82</v>
      </c>
      <c r="H3" s="34" t="s">
        <v>101</v>
      </c>
      <c r="I3" s="15" t="s">
        <v>82</v>
      </c>
      <c r="J3" s="34" t="s">
        <v>81</v>
      </c>
      <c r="L3" s="25" t="s">
        <v>82</v>
      </c>
      <c r="M3" s="24" t="s">
        <v>89</v>
      </c>
    </row>
    <row r="4" spans="1:13" x14ac:dyDescent="0.25">
      <c r="A4" s="16" t="s">
        <v>27</v>
      </c>
      <c r="B4" s="34">
        <v>6</v>
      </c>
      <c r="D4" s="16" t="s">
        <v>56</v>
      </c>
      <c r="E4" s="27">
        <v>300</v>
      </c>
      <c r="G4" s="16" t="s">
        <v>66</v>
      </c>
      <c r="H4" s="34">
        <v>1</v>
      </c>
      <c r="I4" s="16" t="s">
        <v>27</v>
      </c>
      <c r="J4" s="34">
        <v>4</v>
      </c>
      <c r="L4" s="26" t="s">
        <v>87</v>
      </c>
      <c r="M4" s="24">
        <v>9012.5</v>
      </c>
    </row>
    <row r="5" spans="1:13" x14ac:dyDescent="0.25">
      <c r="A5" s="16" t="s">
        <v>63</v>
      </c>
      <c r="B5" s="34">
        <v>7</v>
      </c>
      <c r="D5" s="16" t="s">
        <v>43</v>
      </c>
      <c r="E5" s="27">
        <v>1100</v>
      </c>
      <c r="G5" s="16" t="s">
        <v>39</v>
      </c>
      <c r="H5" s="34">
        <v>1</v>
      </c>
      <c r="I5" s="16" t="s">
        <v>63</v>
      </c>
      <c r="J5" s="34">
        <v>1</v>
      </c>
      <c r="L5" s="26" t="s">
        <v>88</v>
      </c>
      <c r="M5" s="24">
        <v>678.57142857142856</v>
      </c>
    </row>
    <row r="6" spans="1:13" x14ac:dyDescent="0.25">
      <c r="A6" s="16" t="s">
        <v>56</v>
      </c>
      <c r="B6" s="34">
        <v>2</v>
      </c>
      <c r="D6" s="16" t="s">
        <v>63</v>
      </c>
      <c r="E6" s="27">
        <v>3000</v>
      </c>
      <c r="G6" s="16" t="s">
        <v>44</v>
      </c>
      <c r="H6" s="34">
        <v>1</v>
      </c>
      <c r="I6" s="16" t="s">
        <v>56</v>
      </c>
      <c r="J6" s="34">
        <v>1</v>
      </c>
      <c r="L6" s="26" t="s">
        <v>83</v>
      </c>
      <c r="M6" s="24">
        <v>5123.333333333333</v>
      </c>
    </row>
    <row r="7" spans="1:13" x14ac:dyDescent="0.25">
      <c r="A7" s="16" t="s">
        <v>34</v>
      </c>
      <c r="B7" s="34">
        <v>4.5</v>
      </c>
      <c r="D7" s="16" t="s">
        <v>18</v>
      </c>
      <c r="E7" s="27">
        <v>6350</v>
      </c>
      <c r="G7" s="16" t="s">
        <v>60</v>
      </c>
      <c r="H7" s="34">
        <v>1</v>
      </c>
      <c r="I7" s="16" t="s">
        <v>34</v>
      </c>
      <c r="J7" s="34">
        <v>4</v>
      </c>
    </row>
    <row r="8" spans="1:13" x14ac:dyDescent="0.25">
      <c r="A8" s="16" t="s">
        <v>59</v>
      </c>
      <c r="B8" s="34">
        <v>15</v>
      </c>
      <c r="D8" s="16" t="s">
        <v>34</v>
      </c>
      <c r="E8" s="27">
        <v>14000</v>
      </c>
      <c r="G8" s="16" t="s">
        <v>49</v>
      </c>
      <c r="H8" s="34">
        <v>1</v>
      </c>
      <c r="I8" s="16" t="s">
        <v>59</v>
      </c>
      <c r="J8" s="34">
        <v>1</v>
      </c>
    </row>
    <row r="9" spans="1:13" x14ac:dyDescent="0.25">
      <c r="A9" s="16" t="s">
        <v>18</v>
      </c>
      <c r="B9" s="34">
        <v>4</v>
      </c>
      <c r="D9" s="16" t="s">
        <v>59</v>
      </c>
      <c r="E9" s="27">
        <v>25000</v>
      </c>
      <c r="G9" s="16" t="s">
        <v>54</v>
      </c>
      <c r="H9" s="34">
        <v>1</v>
      </c>
      <c r="I9" s="16" t="s">
        <v>18</v>
      </c>
      <c r="J9" s="34">
        <v>3</v>
      </c>
    </row>
    <row r="10" spans="1:13" x14ac:dyDescent="0.25">
      <c r="A10" s="16" t="s">
        <v>43</v>
      </c>
      <c r="B10" s="34">
        <v>6</v>
      </c>
      <c r="D10" s="16" t="s">
        <v>27</v>
      </c>
      <c r="E10" s="27">
        <v>27100</v>
      </c>
      <c r="G10" s="16" t="s">
        <v>19</v>
      </c>
      <c r="H10" s="34">
        <v>2</v>
      </c>
      <c r="I10" s="16" t="s">
        <v>43</v>
      </c>
      <c r="J10" s="34">
        <v>1</v>
      </c>
      <c r="L10" s="35" t="s">
        <v>82</v>
      </c>
      <c r="M10" s="34" t="s">
        <v>81</v>
      </c>
    </row>
    <row r="11" spans="1:13" x14ac:dyDescent="0.25">
      <c r="A11" s="16" t="s">
        <v>83</v>
      </c>
      <c r="B11" s="34">
        <v>5.6</v>
      </c>
      <c r="D11" s="16" t="s">
        <v>83</v>
      </c>
      <c r="E11" s="27">
        <v>76850</v>
      </c>
      <c r="G11" s="16" t="s">
        <v>51</v>
      </c>
      <c r="H11" s="34">
        <v>1</v>
      </c>
      <c r="I11" s="16" t="s">
        <v>83</v>
      </c>
      <c r="J11" s="34">
        <v>15</v>
      </c>
      <c r="L11" s="36" t="s">
        <v>47</v>
      </c>
      <c r="M11" s="34">
        <v>2</v>
      </c>
    </row>
    <row r="12" spans="1:13" x14ac:dyDescent="0.25">
      <c r="G12" s="16" t="s">
        <v>28</v>
      </c>
      <c r="H12" s="34">
        <v>1</v>
      </c>
      <c r="L12" s="36" t="s">
        <v>24</v>
      </c>
      <c r="M12" s="34">
        <v>13</v>
      </c>
    </row>
    <row r="13" spans="1:13" x14ac:dyDescent="0.25">
      <c r="G13" s="16" t="s">
        <v>35</v>
      </c>
      <c r="H13" s="34">
        <v>2</v>
      </c>
      <c r="L13" s="36" t="s">
        <v>83</v>
      </c>
      <c r="M13" s="34">
        <v>15</v>
      </c>
    </row>
    <row r="14" spans="1:13" x14ac:dyDescent="0.25">
      <c r="G14" s="16" t="s">
        <v>64</v>
      </c>
      <c r="H14" s="34">
        <v>1</v>
      </c>
    </row>
    <row r="15" spans="1:13" x14ac:dyDescent="0.25">
      <c r="G15" s="16" t="s">
        <v>57</v>
      </c>
      <c r="H15" s="34">
        <v>1</v>
      </c>
      <c r="I15" s="15" t="s">
        <v>82</v>
      </c>
      <c r="J15" s="34" t="s">
        <v>86</v>
      </c>
    </row>
    <row r="16" spans="1:13" x14ac:dyDescent="0.25">
      <c r="A16" s="15" t="s">
        <v>82</v>
      </c>
      <c r="B16" s="34" t="s">
        <v>81</v>
      </c>
      <c r="G16" s="16" t="s">
        <v>46</v>
      </c>
      <c r="H16" s="34">
        <v>1</v>
      </c>
      <c r="I16" s="16" t="s">
        <v>27</v>
      </c>
      <c r="J16" s="34">
        <v>6.75</v>
      </c>
      <c r="L16" s="35" t="s">
        <v>82</v>
      </c>
      <c r="M16" s="34" t="s">
        <v>81</v>
      </c>
    </row>
    <row r="17" spans="1:17" x14ac:dyDescent="0.25">
      <c r="A17" s="16" t="s">
        <v>23</v>
      </c>
      <c r="B17" s="34">
        <v>11</v>
      </c>
      <c r="D17" s="24" t="str">
        <f>"Largest Age Group: " &amp; INDEX(ANALYSIS!D19:D25, MATCH(MAX(ANALYSIS!E19:E25),ANALYSIS!E19:E25,0))</f>
        <v>Largest Age Group: 28-37</v>
      </c>
      <c r="G17" s="16" t="s">
        <v>83</v>
      </c>
      <c r="H17" s="34">
        <v>15</v>
      </c>
      <c r="I17" s="16" t="s">
        <v>63</v>
      </c>
      <c r="J17" s="34">
        <v>5</v>
      </c>
      <c r="L17" s="36" t="s">
        <v>27</v>
      </c>
      <c r="M17" s="34">
        <v>4</v>
      </c>
    </row>
    <row r="18" spans="1:17" x14ac:dyDescent="0.25">
      <c r="A18" s="16" t="s">
        <v>32</v>
      </c>
      <c r="B18" s="34">
        <v>4</v>
      </c>
      <c r="D18" s="35" t="s">
        <v>82</v>
      </c>
      <c r="E18" s="34" t="s">
        <v>81</v>
      </c>
      <c r="G18"/>
      <c r="H18"/>
      <c r="I18" s="16" t="s">
        <v>56</v>
      </c>
      <c r="J18" s="34">
        <v>10</v>
      </c>
      <c r="L18" s="36" t="s">
        <v>63</v>
      </c>
      <c r="M18" s="34">
        <v>1</v>
      </c>
    </row>
    <row r="19" spans="1:17" x14ac:dyDescent="0.25">
      <c r="A19" s="16" t="s">
        <v>83</v>
      </c>
      <c r="B19" s="34">
        <v>15</v>
      </c>
      <c r="D19" s="36" t="s">
        <v>92</v>
      </c>
      <c r="E19" s="34">
        <v>2</v>
      </c>
      <c r="G19"/>
      <c r="H19"/>
      <c r="I19" s="16" t="s">
        <v>34</v>
      </c>
      <c r="J19" s="34">
        <v>8.75</v>
      </c>
      <c r="L19" s="36" t="s">
        <v>56</v>
      </c>
      <c r="M19" s="34">
        <v>1</v>
      </c>
    </row>
    <row r="20" spans="1:17" x14ac:dyDescent="0.25">
      <c r="D20" s="36" t="s">
        <v>93</v>
      </c>
      <c r="E20" s="34">
        <v>4</v>
      </c>
      <c r="I20" s="16" t="s">
        <v>59</v>
      </c>
      <c r="J20" s="34">
        <v>6</v>
      </c>
      <c r="L20" s="36" t="s">
        <v>34</v>
      </c>
      <c r="M20" s="34">
        <v>4</v>
      </c>
    </row>
    <row r="21" spans="1:17" x14ac:dyDescent="0.25">
      <c r="D21" s="36" t="s">
        <v>94</v>
      </c>
      <c r="E21" s="34">
        <v>2</v>
      </c>
      <c r="I21" s="16" t="s">
        <v>18</v>
      </c>
      <c r="J21" s="34">
        <v>8.3333333333333339</v>
      </c>
      <c r="L21" s="36" t="s">
        <v>59</v>
      </c>
      <c r="M21" s="34">
        <v>1</v>
      </c>
    </row>
    <row r="22" spans="1:17" x14ac:dyDescent="0.25">
      <c r="A22" s="13" t="str">
        <f>"Most Common Payment Method: "&amp; INDEX(A24:A26, MATCH(MAX(B24:B26),B24:B26,0))</f>
        <v>Most Common Payment Method: Insurance</v>
      </c>
      <c r="D22" s="36" t="s">
        <v>95</v>
      </c>
      <c r="E22" s="34">
        <v>3</v>
      </c>
      <c r="I22" s="16" t="s">
        <v>43</v>
      </c>
      <c r="J22" s="34">
        <v>10</v>
      </c>
      <c r="L22" s="36" t="s">
        <v>18</v>
      </c>
      <c r="M22" s="34">
        <v>3</v>
      </c>
    </row>
    <row r="23" spans="1:17" x14ac:dyDescent="0.25">
      <c r="A23" s="15" t="s">
        <v>82</v>
      </c>
      <c r="B23" s="34" t="s">
        <v>81</v>
      </c>
      <c r="D23" s="36" t="s">
        <v>96</v>
      </c>
      <c r="E23" s="34">
        <v>2</v>
      </c>
      <c r="I23" s="16" t="s">
        <v>83</v>
      </c>
      <c r="J23" s="34">
        <v>7.8666666666666663</v>
      </c>
      <c r="L23" s="36" t="s">
        <v>43</v>
      </c>
      <c r="M23" s="34">
        <v>1</v>
      </c>
    </row>
    <row r="24" spans="1:17" x14ac:dyDescent="0.25">
      <c r="A24" s="16" t="s">
        <v>37</v>
      </c>
      <c r="B24" s="34">
        <v>4</v>
      </c>
      <c r="D24" s="36" t="s">
        <v>97</v>
      </c>
      <c r="E24" s="34">
        <v>1</v>
      </c>
      <c r="L24" s="36" t="s">
        <v>83</v>
      </c>
      <c r="M24" s="34">
        <v>15</v>
      </c>
    </row>
    <row r="25" spans="1:17" x14ac:dyDescent="0.25">
      <c r="A25" s="16" t="s">
        <v>21</v>
      </c>
      <c r="B25" s="34">
        <v>3</v>
      </c>
      <c r="D25" s="36" t="s">
        <v>98</v>
      </c>
      <c r="E25" s="34">
        <v>1</v>
      </c>
    </row>
    <row r="26" spans="1:17" x14ac:dyDescent="0.25">
      <c r="A26" s="16" t="s">
        <v>30</v>
      </c>
      <c r="B26" s="34">
        <v>8</v>
      </c>
      <c r="D26" s="36" t="s">
        <v>83</v>
      </c>
      <c r="E26" s="34">
        <v>15</v>
      </c>
    </row>
    <row r="27" spans="1:17" x14ac:dyDescent="0.25">
      <c r="A27" s="16" t="s">
        <v>83</v>
      </c>
      <c r="B27" s="34">
        <v>15</v>
      </c>
    </row>
    <row r="30" spans="1:17" x14ac:dyDescent="0.25">
      <c r="B30" s="33" t="s">
        <v>100</v>
      </c>
      <c r="C30" s="33"/>
      <c r="D30" s="33"/>
      <c r="E30" s="33"/>
      <c r="F30" s="33"/>
      <c r="G30" s="33"/>
      <c r="H30" s="33"/>
      <c r="I30" s="33"/>
      <c r="J30" s="33"/>
      <c r="K30" s="33"/>
      <c r="L30" s="33"/>
      <c r="M30" s="33"/>
      <c r="N30" s="33"/>
      <c r="O30" s="33"/>
      <c r="P30" s="33"/>
      <c r="Q30" s="33"/>
    </row>
    <row r="31" spans="1:17" x14ac:dyDescent="0.25">
      <c r="B31" s="34" t="s">
        <v>84</v>
      </c>
      <c r="D31" s="34" t="s">
        <v>81</v>
      </c>
      <c r="G31" s="34" t="s">
        <v>86</v>
      </c>
      <c r="K31" s="17" t="s">
        <v>82</v>
      </c>
      <c r="L31" s="34" t="s">
        <v>81</v>
      </c>
      <c r="O31" s="34" t="s">
        <v>85</v>
      </c>
    </row>
    <row r="32" spans="1:17" x14ac:dyDescent="0.25">
      <c r="B32" s="27">
        <v>76850</v>
      </c>
      <c r="D32" s="34">
        <v>15</v>
      </c>
      <c r="G32" s="34">
        <v>7.8666666666666663</v>
      </c>
      <c r="K32" s="16" t="s">
        <v>47</v>
      </c>
      <c r="L32" s="34">
        <v>2</v>
      </c>
      <c r="O32" s="34">
        <v>5.6</v>
      </c>
    </row>
    <row r="33" spans="2:20" x14ac:dyDescent="0.25">
      <c r="B33" s="28">
        <f>GETPIVOTDATA("Total Bill Amount",$B$31)</f>
        <v>76850</v>
      </c>
      <c r="D33" s="24">
        <f>GETPIVOTDATA("Patient ID",$D$31)</f>
        <v>15</v>
      </c>
      <c r="G33" s="31">
        <f>GETPIVOTDATA("Satisfaction Score",$G$31)</f>
        <v>7.8666666666666663</v>
      </c>
      <c r="K33" s="16" t="s">
        <v>24</v>
      </c>
      <c r="L33" s="34">
        <v>13</v>
      </c>
      <c r="O33" s="24">
        <f>GETPIVOTDATA("Length of Stay",$O$31)</f>
        <v>5.6</v>
      </c>
    </row>
    <row r="34" spans="2:20" x14ac:dyDescent="0.25">
      <c r="K34" s="16" t="s">
        <v>83</v>
      </c>
      <c r="L34" s="34">
        <v>15</v>
      </c>
    </row>
    <row r="38" spans="2:20" x14ac:dyDescent="0.25">
      <c r="D38" s="35" t="s">
        <v>81</v>
      </c>
      <c r="E38" s="35" t="s">
        <v>102</v>
      </c>
      <c r="F38" s="34"/>
      <c r="G38" s="34"/>
      <c r="H38"/>
      <c r="I38"/>
      <c r="J38" s="35" t="s">
        <v>82</v>
      </c>
      <c r="K38" s="34" t="s">
        <v>84</v>
      </c>
      <c r="L38"/>
      <c r="M38"/>
      <c r="N38"/>
      <c r="O38"/>
      <c r="P38"/>
      <c r="Q38"/>
      <c r="R38"/>
      <c r="S38"/>
      <c r="T38"/>
    </row>
    <row r="39" spans="2:20" x14ac:dyDescent="0.25">
      <c r="D39" s="35" t="s">
        <v>82</v>
      </c>
      <c r="E39" s="34" t="s">
        <v>23</v>
      </c>
      <c r="F39" s="34" t="s">
        <v>32</v>
      </c>
      <c r="G39" s="34" t="s">
        <v>83</v>
      </c>
      <c r="H39"/>
      <c r="I39"/>
      <c r="J39" s="36" t="s">
        <v>37</v>
      </c>
      <c r="K39" s="27">
        <v>3100</v>
      </c>
      <c r="L39"/>
      <c r="M39"/>
      <c r="N39"/>
      <c r="O39"/>
      <c r="P39"/>
      <c r="Q39"/>
      <c r="R39"/>
      <c r="S39"/>
      <c r="T39"/>
    </row>
    <row r="40" spans="2:20" x14ac:dyDescent="0.25">
      <c r="D40" s="36" t="s">
        <v>66</v>
      </c>
      <c r="E40" s="34">
        <v>1</v>
      </c>
      <c r="F40" s="34"/>
      <c r="G40" s="34">
        <v>1</v>
      </c>
      <c r="H40"/>
      <c r="I40"/>
      <c r="J40" s="36" t="s">
        <v>21</v>
      </c>
      <c r="K40" s="27">
        <v>1650</v>
      </c>
      <c r="L40"/>
      <c r="M40"/>
      <c r="N40"/>
      <c r="O40"/>
      <c r="P40"/>
      <c r="Q40"/>
      <c r="R40"/>
      <c r="S40"/>
      <c r="T40"/>
    </row>
    <row r="41" spans="2:20" x14ac:dyDescent="0.25">
      <c r="D41" s="36" t="s">
        <v>39</v>
      </c>
      <c r="E41" s="34">
        <v>1</v>
      </c>
      <c r="F41" s="34"/>
      <c r="G41" s="34">
        <v>1</v>
      </c>
      <c r="H41"/>
      <c r="I41"/>
      <c r="J41" s="36" t="s">
        <v>30</v>
      </c>
      <c r="K41" s="27">
        <v>72100</v>
      </c>
      <c r="L41"/>
      <c r="M41"/>
      <c r="N41"/>
      <c r="O41"/>
      <c r="P41"/>
      <c r="Q41"/>
      <c r="R41"/>
      <c r="S41"/>
      <c r="T41"/>
    </row>
    <row r="42" spans="2:20" x14ac:dyDescent="0.25">
      <c r="D42" s="36" t="s">
        <v>44</v>
      </c>
      <c r="E42" s="34">
        <v>1</v>
      </c>
      <c r="F42" s="34"/>
      <c r="G42" s="34">
        <v>1</v>
      </c>
      <c r="H42"/>
      <c r="I42"/>
      <c r="J42" s="36" t="s">
        <v>83</v>
      </c>
      <c r="K42" s="27">
        <v>76850</v>
      </c>
      <c r="L42"/>
      <c r="M42"/>
      <c r="N42"/>
      <c r="O42"/>
      <c r="P42"/>
      <c r="Q42"/>
      <c r="R42"/>
    </row>
    <row r="43" spans="2:20" x14ac:dyDescent="0.25">
      <c r="D43" s="36" t="s">
        <v>60</v>
      </c>
      <c r="E43" s="34"/>
      <c r="F43" s="34">
        <v>1</v>
      </c>
      <c r="G43" s="34">
        <v>1</v>
      </c>
      <c r="H43"/>
      <c r="I43"/>
      <c r="J43"/>
      <c r="K43"/>
      <c r="L43"/>
      <c r="M43"/>
      <c r="N43"/>
      <c r="O43"/>
      <c r="P43"/>
      <c r="Q43"/>
      <c r="R43"/>
    </row>
    <row r="44" spans="2:20" x14ac:dyDescent="0.25">
      <c r="D44" s="36" t="s">
        <v>49</v>
      </c>
      <c r="E44" s="34">
        <v>1</v>
      </c>
      <c r="F44" s="34"/>
      <c r="G44" s="34">
        <v>1</v>
      </c>
      <c r="H44"/>
      <c r="I44"/>
      <c r="J44"/>
      <c r="K44"/>
      <c r="L44"/>
      <c r="M44"/>
      <c r="N44"/>
      <c r="O44"/>
      <c r="P44"/>
      <c r="Q44"/>
      <c r="R44"/>
    </row>
    <row r="45" spans="2:20" x14ac:dyDescent="0.25">
      <c r="D45" s="36" t="s">
        <v>54</v>
      </c>
      <c r="E45" s="34">
        <v>1</v>
      </c>
      <c r="F45" s="34"/>
      <c r="G45" s="34">
        <v>1</v>
      </c>
      <c r="H45"/>
      <c r="I45"/>
      <c r="J45" s="15" t="s">
        <v>82</v>
      </c>
      <c r="K45" t="s">
        <v>81</v>
      </c>
      <c r="L45"/>
      <c r="M45" s="15" t="s">
        <v>82</v>
      </c>
      <c r="N45" t="s">
        <v>81</v>
      </c>
      <c r="O45"/>
      <c r="P45"/>
      <c r="Q45"/>
      <c r="R45"/>
    </row>
    <row r="46" spans="2:20" x14ac:dyDescent="0.25">
      <c r="D46" s="36" t="s">
        <v>19</v>
      </c>
      <c r="E46" s="34">
        <v>2</v>
      </c>
      <c r="F46" s="34"/>
      <c r="G46" s="34">
        <v>2</v>
      </c>
      <c r="H46"/>
      <c r="I46"/>
      <c r="J46" s="16" t="s">
        <v>103</v>
      </c>
      <c r="K46">
        <v>2</v>
      </c>
      <c r="L46"/>
      <c r="M46" s="16" t="s">
        <v>47</v>
      </c>
      <c r="N46" s="32">
        <v>0.13333333333333333</v>
      </c>
      <c r="O46" s="13">
        <f>GETPIVOTDATA("Patient ID",$M$45,"Mortality Status","Deceased")</f>
        <v>0.13333333333333333</v>
      </c>
      <c r="P46"/>
      <c r="Q46"/>
      <c r="R46"/>
    </row>
    <row r="47" spans="2:20" x14ac:dyDescent="0.25">
      <c r="D47" s="36" t="s">
        <v>51</v>
      </c>
      <c r="E47" s="34">
        <v>1</v>
      </c>
      <c r="F47" s="34"/>
      <c r="G47" s="34">
        <v>1</v>
      </c>
      <c r="H47"/>
      <c r="I47"/>
      <c r="J47" s="16" t="s">
        <v>104</v>
      </c>
      <c r="K47">
        <v>3</v>
      </c>
      <c r="L47"/>
      <c r="M47" s="16" t="s">
        <v>24</v>
      </c>
      <c r="N47" s="32">
        <v>0.8666666666666667</v>
      </c>
      <c r="O47"/>
      <c r="P47"/>
      <c r="Q47"/>
      <c r="R47"/>
    </row>
    <row r="48" spans="2:20" x14ac:dyDescent="0.25">
      <c r="D48" s="36" t="s">
        <v>28</v>
      </c>
      <c r="E48" s="34"/>
      <c r="F48" s="34">
        <v>1</v>
      </c>
      <c r="G48" s="34">
        <v>1</v>
      </c>
      <c r="H48"/>
      <c r="I48"/>
      <c r="J48" s="16" t="s">
        <v>105</v>
      </c>
      <c r="K48">
        <v>3</v>
      </c>
      <c r="L48"/>
      <c r="M48" s="16" t="s">
        <v>83</v>
      </c>
      <c r="N48" s="32">
        <v>1</v>
      </c>
      <c r="O48"/>
      <c r="P48"/>
      <c r="Q48"/>
      <c r="R48"/>
    </row>
    <row r="49" spans="4:18" x14ac:dyDescent="0.25">
      <c r="D49" s="36" t="s">
        <v>35</v>
      </c>
      <c r="E49" s="34">
        <v>2</v>
      </c>
      <c r="F49" s="34"/>
      <c r="G49" s="34">
        <v>2</v>
      </c>
      <c r="H49"/>
      <c r="I49"/>
      <c r="J49" s="16" t="s">
        <v>106</v>
      </c>
      <c r="K49">
        <v>3</v>
      </c>
      <c r="L49"/>
      <c r="M49"/>
      <c r="N49"/>
      <c r="O49"/>
      <c r="P49"/>
      <c r="Q49"/>
      <c r="R49"/>
    </row>
    <row r="50" spans="4:18" x14ac:dyDescent="0.25">
      <c r="D50" s="36" t="s">
        <v>64</v>
      </c>
      <c r="E50" s="34"/>
      <c r="F50" s="34">
        <v>1</v>
      </c>
      <c r="G50" s="34">
        <v>1</v>
      </c>
      <c r="H50"/>
      <c r="I50"/>
      <c r="J50" s="16" t="s">
        <v>107</v>
      </c>
      <c r="K50">
        <v>2</v>
      </c>
      <c r="L50"/>
      <c r="M50"/>
      <c r="N50"/>
      <c r="O50"/>
      <c r="P50"/>
      <c r="Q50"/>
      <c r="R50"/>
    </row>
    <row r="51" spans="4:18" x14ac:dyDescent="0.25">
      <c r="D51" s="36" t="s">
        <v>57</v>
      </c>
      <c r="E51" s="34">
        <v>1</v>
      </c>
      <c r="F51" s="34"/>
      <c r="G51" s="34">
        <v>1</v>
      </c>
      <c r="H51"/>
      <c r="I51"/>
      <c r="J51" s="16" t="s">
        <v>108</v>
      </c>
      <c r="K51">
        <v>2</v>
      </c>
      <c r="L51"/>
      <c r="M51"/>
      <c r="N51"/>
      <c r="O51"/>
      <c r="P51"/>
      <c r="Q51"/>
      <c r="R51"/>
    </row>
    <row r="52" spans="4:18" x14ac:dyDescent="0.25">
      <c r="D52" s="36" t="s">
        <v>46</v>
      </c>
      <c r="E52" s="34"/>
      <c r="F52" s="34">
        <v>1</v>
      </c>
      <c r="G52" s="34">
        <v>1</v>
      </c>
      <c r="H52"/>
      <c r="I52"/>
      <c r="J52" s="16" t="s">
        <v>83</v>
      </c>
      <c r="K52">
        <v>15</v>
      </c>
      <c r="L52"/>
      <c r="M52"/>
      <c r="N52"/>
      <c r="O52"/>
      <c r="P52"/>
      <c r="Q52"/>
      <c r="R52"/>
    </row>
    <row r="53" spans="4:18" x14ac:dyDescent="0.25">
      <c r="D53" s="36" t="s">
        <v>83</v>
      </c>
      <c r="E53" s="34">
        <v>11</v>
      </c>
      <c r="F53" s="34">
        <v>4</v>
      </c>
      <c r="G53" s="34">
        <v>15</v>
      </c>
      <c r="H53"/>
      <c r="I53"/>
      <c r="J53"/>
      <c r="K53"/>
      <c r="L53"/>
      <c r="M53"/>
      <c r="N53"/>
      <c r="O53"/>
      <c r="P53"/>
      <c r="Q53"/>
      <c r="R53"/>
    </row>
    <row r="54" spans="4:18" x14ac:dyDescent="0.25">
      <c r="D54"/>
      <c r="E54"/>
      <c r="F54"/>
      <c r="G54"/>
      <c r="H54"/>
      <c r="I54"/>
      <c r="J54"/>
      <c r="K54"/>
      <c r="L54"/>
      <c r="M54"/>
      <c r="N54"/>
      <c r="O54"/>
      <c r="P54"/>
      <c r="Q54"/>
      <c r="R54"/>
    </row>
    <row r="55" spans="4:18" x14ac:dyDescent="0.25">
      <c r="D55"/>
      <c r="E55"/>
      <c r="F55"/>
      <c r="G55"/>
      <c r="H55"/>
      <c r="I55"/>
      <c r="J55"/>
      <c r="K55"/>
      <c r="L55"/>
      <c r="M55"/>
      <c r="N55"/>
      <c r="O55"/>
      <c r="P55"/>
      <c r="Q55"/>
      <c r="R55"/>
    </row>
    <row r="56" spans="4:18" x14ac:dyDescent="0.25">
      <c r="D56"/>
      <c r="E56"/>
      <c r="F56"/>
      <c r="G56"/>
      <c r="H56"/>
      <c r="I56"/>
      <c r="J56"/>
      <c r="K56"/>
      <c r="L56"/>
      <c r="M56"/>
      <c r="N56"/>
      <c r="O56"/>
      <c r="P56"/>
      <c r="Q56"/>
      <c r="R56"/>
    </row>
    <row r="57" spans="4:18" x14ac:dyDescent="0.25">
      <c r="D57"/>
      <c r="E57"/>
      <c r="F57"/>
      <c r="G57"/>
      <c r="H57"/>
      <c r="I57"/>
      <c r="J57"/>
      <c r="K57"/>
      <c r="L57"/>
      <c r="M57"/>
      <c r="N57"/>
      <c r="O57"/>
      <c r="P57"/>
      <c r="Q57"/>
      <c r="R57"/>
    </row>
    <row r="58" spans="4:18" x14ac:dyDescent="0.25">
      <c r="D58"/>
      <c r="E58"/>
      <c r="F58"/>
      <c r="G58"/>
      <c r="J58"/>
      <c r="K58"/>
      <c r="L58"/>
      <c r="M58"/>
      <c r="N58"/>
      <c r="O58"/>
    </row>
    <row r="59" spans="4:18" x14ac:dyDescent="0.25">
      <c r="D59"/>
      <c r="E59"/>
      <c r="F59"/>
      <c r="G59"/>
      <c r="J59"/>
      <c r="K59"/>
      <c r="L59"/>
      <c r="M59"/>
      <c r="N59"/>
      <c r="O59"/>
    </row>
    <row r="60" spans="4:18" x14ac:dyDescent="0.25">
      <c r="D60"/>
      <c r="E60"/>
      <c r="F60"/>
      <c r="G60"/>
      <c r="J60"/>
      <c r="K60"/>
      <c r="L60"/>
      <c r="M60"/>
      <c r="N60"/>
      <c r="O60"/>
    </row>
    <row r="61" spans="4:18" x14ac:dyDescent="0.25">
      <c r="D61"/>
      <c r="E61"/>
      <c r="F61"/>
      <c r="G61"/>
      <c r="J61"/>
      <c r="K61"/>
      <c r="L61"/>
      <c r="M61"/>
      <c r="N61"/>
      <c r="O61"/>
    </row>
    <row r="62" spans="4:18" x14ac:dyDescent="0.25">
      <c r="D62"/>
      <c r="E62"/>
      <c r="F62"/>
      <c r="G62"/>
      <c r="J62"/>
      <c r="K62"/>
      <c r="L62"/>
      <c r="M62"/>
      <c r="N62"/>
      <c r="O62"/>
    </row>
    <row r="63" spans="4:18" x14ac:dyDescent="0.25">
      <c r="D63"/>
      <c r="E63"/>
      <c r="F63"/>
      <c r="G63"/>
      <c r="J63"/>
      <c r="K63"/>
      <c r="M63"/>
    </row>
    <row r="64" spans="4:18" x14ac:dyDescent="0.25">
      <c r="D64"/>
      <c r="E64"/>
      <c r="F64"/>
      <c r="G64"/>
      <c r="J64"/>
      <c r="K64"/>
    </row>
    <row r="65" spans="4:11" x14ac:dyDescent="0.25">
      <c r="D65"/>
      <c r="E65"/>
      <c r="F65"/>
      <c r="G65"/>
      <c r="J65"/>
      <c r="K65"/>
    </row>
    <row r="66" spans="4:11" x14ac:dyDescent="0.25">
      <c r="D66"/>
      <c r="E66"/>
      <c r="F66"/>
      <c r="G66"/>
      <c r="J66"/>
      <c r="K66"/>
    </row>
    <row r="67" spans="4:11" x14ac:dyDescent="0.25">
      <c r="D67"/>
      <c r="E67"/>
      <c r="F67"/>
      <c r="G67"/>
      <c r="J67"/>
      <c r="K67"/>
    </row>
    <row r="68" spans="4:11" x14ac:dyDescent="0.25">
      <c r="D68"/>
      <c r="E68"/>
      <c r="F68"/>
      <c r="G68"/>
      <c r="J68"/>
      <c r="K68"/>
    </row>
    <row r="69" spans="4:11" x14ac:dyDescent="0.25">
      <c r="J69"/>
      <c r="K69"/>
    </row>
    <row r="70" spans="4:11" x14ac:dyDescent="0.25">
      <c r="J70"/>
      <c r="K70"/>
    </row>
    <row r="71" spans="4:11" x14ac:dyDescent="0.25">
      <c r="J71"/>
      <c r="K71"/>
    </row>
    <row r="72" spans="4:11" x14ac:dyDescent="0.25">
      <c r="J72"/>
      <c r="K72"/>
    </row>
    <row r="73" spans="4:11" x14ac:dyDescent="0.25">
      <c r="J73"/>
      <c r="K73"/>
    </row>
    <row r="74" spans="4:11" x14ac:dyDescent="0.25">
      <c r="J74"/>
      <c r="K74"/>
    </row>
    <row r="75" spans="4:11" x14ac:dyDescent="0.25">
      <c r="J75"/>
      <c r="K75"/>
    </row>
    <row r="76" spans="4:11" x14ac:dyDescent="0.25">
      <c r="J76"/>
      <c r="K76"/>
    </row>
  </sheetData>
  <mergeCells count="1">
    <mergeCell ref="B30:Q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961D4-2083-466E-AFA3-998F60BB7910}">
  <sheetPr>
    <tabColor rgb="FF3B82F6"/>
  </sheetPr>
  <dimension ref="A1"/>
  <sheetViews>
    <sheetView showGridLines="0" showRowColHeaders="0"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BB2F-E156-476D-A53C-0FE3E0667949}">
  <dimension ref="A1"/>
  <sheetViews>
    <sheetView showGridLines="0" tabSelected="1" workbookViewId="0">
      <selection activeCell="C17" sqref="C17"/>
    </sheetView>
  </sheetViews>
  <sheetFormatPr defaultRowHeight="15" x14ac:dyDescent="0.25"/>
  <cols>
    <col min="1" max="16384" width="9.14062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C3727-E38D-460D-8ABA-AE6810E979FE}">
  <dimension ref="A1:V16"/>
  <sheetViews>
    <sheetView zoomScale="85" zoomScaleNormal="130" workbookViewId="0"/>
  </sheetViews>
  <sheetFormatPr defaultRowHeight="15" x14ac:dyDescent="0.25"/>
  <cols>
    <col min="1" max="1" width="11.85546875" customWidth="1"/>
    <col min="3" max="3" width="11.7109375" customWidth="1"/>
    <col min="4" max="4" width="9.85546875" customWidth="1"/>
    <col min="5" max="5" width="17" customWidth="1"/>
    <col min="6" max="6" width="16.28515625" customWidth="1"/>
    <col min="7" max="7" width="15.28515625" customWidth="1"/>
    <col min="8" max="8" width="15.7109375" customWidth="1"/>
    <col min="9" max="9" width="17.140625" customWidth="1"/>
    <col min="10" max="10" width="15.5703125" customWidth="1"/>
    <col min="11" max="11" width="18.42578125" customWidth="1"/>
    <col min="12" max="12" width="18.5703125" customWidth="1"/>
    <col min="13" max="14" width="19.7109375" customWidth="1"/>
    <col min="15" max="15" width="18.7109375" customWidth="1"/>
    <col min="16" max="16" width="14.42578125" customWidth="1"/>
    <col min="17" max="17" width="22.5703125" customWidth="1"/>
    <col min="18" max="18" width="17.28515625" customWidth="1"/>
  </cols>
  <sheetData>
    <row r="1" spans="1:22" ht="30" x14ac:dyDescent="0.25">
      <c r="A1" s="22" t="s">
        <v>0</v>
      </c>
      <c r="B1" s="22" t="s">
        <v>1</v>
      </c>
      <c r="C1" s="22" t="s">
        <v>91</v>
      </c>
      <c r="D1" s="22" t="s">
        <v>2</v>
      </c>
      <c r="E1" s="22" t="s">
        <v>3</v>
      </c>
      <c r="F1" s="22" t="s">
        <v>4</v>
      </c>
      <c r="G1" s="22" t="s">
        <v>5</v>
      </c>
      <c r="H1" s="22" t="s">
        <v>6</v>
      </c>
      <c r="I1" s="22" t="s">
        <v>7</v>
      </c>
      <c r="J1" s="22" t="s">
        <v>8</v>
      </c>
      <c r="K1" s="22" t="s">
        <v>9</v>
      </c>
      <c r="L1" s="22" t="s">
        <v>10</v>
      </c>
      <c r="M1" s="22" t="s">
        <v>11</v>
      </c>
      <c r="N1" s="22" t="s">
        <v>80</v>
      </c>
      <c r="O1" s="22" t="s">
        <v>12</v>
      </c>
      <c r="P1" s="22" t="s">
        <v>13</v>
      </c>
      <c r="Q1" s="22" t="s">
        <v>14</v>
      </c>
      <c r="R1" s="22" t="s">
        <v>15</v>
      </c>
      <c r="S1" s="1"/>
      <c r="T1" s="1"/>
      <c r="U1" s="1"/>
      <c r="V1" s="1"/>
    </row>
    <row r="2" spans="1:22" x14ac:dyDescent="0.25">
      <c r="A2" s="18" t="s">
        <v>16</v>
      </c>
      <c r="B2" s="18">
        <v>25</v>
      </c>
      <c r="C2" s="18" t="str" cm="1">
        <f t="array" ref="C2">_xlfn.IFS('source Data'!$B2&lt;=25,"18-25",'source Data'!$B2&lt;=35,"26-35",'source Data'!$B2&lt;=45,"36-45",'source Data'!$B2&lt;=55,"46-55",'source Data'!$B2&lt;=65,"56-65",'source Data'!$B2&lt;=80,"66-80")</f>
        <v>18-25</v>
      </c>
      <c r="D2" s="18" t="s">
        <v>17</v>
      </c>
      <c r="E2" s="19">
        <v>45301</v>
      </c>
      <c r="F2" s="19">
        <v>45303</v>
      </c>
      <c r="G2" s="18" t="s">
        <v>18</v>
      </c>
      <c r="H2" s="18" t="s">
        <v>19</v>
      </c>
      <c r="I2" s="18" t="s">
        <v>20</v>
      </c>
      <c r="J2" s="18">
        <v>2</v>
      </c>
      <c r="K2" s="29">
        <v>450</v>
      </c>
      <c r="L2" s="18" t="s">
        <v>21</v>
      </c>
      <c r="M2" s="18" t="s">
        <v>22</v>
      </c>
      <c r="N2" s="18" t="str">
        <f>IF('source Data'!$M2="None","Not Insured","Insured")</f>
        <v>Not Insured</v>
      </c>
      <c r="O2" s="18">
        <v>8</v>
      </c>
      <c r="P2" s="18" t="s">
        <v>23</v>
      </c>
      <c r="Q2" s="18" t="s">
        <v>23</v>
      </c>
      <c r="R2" s="18" t="s">
        <v>24</v>
      </c>
      <c r="S2" s="2"/>
      <c r="T2" s="2"/>
      <c r="U2" s="2"/>
      <c r="V2" s="2"/>
    </row>
    <row r="3" spans="1:22" x14ac:dyDescent="0.25">
      <c r="A3" s="20" t="s">
        <v>25</v>
      </c>
      <c r="B3" s="20">
        <v>60</v>
      </c>
      <c r="C3" s="20" t="str" cm="1">
        <f t="array" ref="C3">_xlfn.IFS('source Data'!$B3&lt;=25,"18-25",'source Data'!$B3&lt;=35,"26-35",'source Data'!$B3&lt;=45,"36-45",'source Data'!$B3&lt;=55,"46-55",'source Data'!$B3&lt;=65,"56-65",'source Data'!$B3&lt;=80,"66-80")</f>
        <v>56-65</v>
      </c>
      <c r="D3" s="20" t="s">
        <v>26</v>
      </c>
      <c r="E3" s="21">
        <v>45327</v>
      </c>
      <c r="F3" s="21">
        <v>45337</v>
      </c>
      <c r="G3" s="20" t="s">
        <v>27</v>
      </c>
      <c r="H3" s="20" t="s">
        <v>28</v>
      </c>
      <c r="I3" s="20" t="s">
        <v>29</v>
      </c>
      <c r="J3" s="20">
        <v>10</v>
      </c>
      <c r="K3" s="30">
        <v>2100</v>
      </c>
      <c r="L3" s="20" t="s">
        <v>30</v>
      </c>
      <c r="M3" s="20" t="s">
        <v>31</v>
      </c>
      <c r="N3" s="20" t="str">
        <f>IF('source Data'!$M3="None","Not Insured","Insured")</f>
        <v>Insured</v>
      </c>
      <c r="O3" s="20">
        <v>7</v>
      </c>
      <c r="P3" s="20" t="s">
        <v>32</v>
      </c>
      <c r="Q3" s="20" t="s">
        <v>23</v>
      </c>
      <c r="R3" s="20" t="s">
        <v>24</v>
      </c>
      <c r="S3" s="2"/>
      <c r="T3" s="2"/>
      <c r="U3" s="2"/>
      <c r="V3" s="2"/>
    </row>
    <row r="4" spans="1:22" x14ac:dyDescent="0.25">
      <c r="A4" s="18" t="s">
        <v>33</v>
      </c>
      <c r="B4" s="18">
        <v>34</v>
      </c>
      <c r="C4" s="18" t="str" cm="1">
        <f t="array" ref="C4">_xlfn.IFS('source Data'!$B4&lt;=25,"18-25",'source Data'!$B4&lt;=35,"26-35",'source Data'!$B4&lt;=45,"36-45",'source Data'!$B4&lt;=55,"46-55",'source Data'!$B4&lt;=65,"56-65",'source Data'!$B4&lt;=80,"66-80")</f>
        <v>26-35</v>
      </c>
      <c r="D4" s="18" t="s">
        <v>17</v>
      </c>
      <c r="E4" s="19">
        <v>45371</v>
      </c>
      <c r="F4" s="19">
        <v>45375</v>
      </c>
      <c r="G4" s="18" t="s">
        <v>34</v>
      </c>
      <c r="H4" s="18" t="s">
        <v>35</v>
      </c>
      <c r="I4" s="18" t="s">
        <v>36</v>
      </c>
      <c r="J4" s="18">
        <v>4</v>
      </c>
      <c r="K4" s="29">
        <v>700</v>
      </c>
      <c r="L4" s="18" t="s">
        <v>37</v>
      </c>
      <c r="M4" s="18" t="s">
        <v>22</v>
      </c>
      <c r="N4" s="18" t="str">
        <f>IF('source Data'!$M4="None","Not Insured","Insured")</f>
        <v>Not Insured</v>
      </c>
      <c r="O4" s="18">
        <v>9</v>
      </c>
      <c r="P4" s="18" t="s">
        <v>23</v>
      </c>
      <c r="Q4" s="18" t="s">
        <v>32</v>
      </c>
      <c r="R4" s="18" t="s">
        <v>24</v>
      </c>
      <c r="S4" s="2"/>
      <c r="T4" s="2"/>
      <c r="U4" s="2"/>
      <c r="V4" s="2"/>
    </row>
    <row r="5" spans="1:22" x14ac:dyDescent="0.25">
      <c r="A5" s="20" t="s">
        <v>38</v>
      </c>
      <c r="B5" s="20">
        <v>45</v>
      </c>
      <c r="C5" s="20" t="str" cm="1">
        <f t="array" ref="C5">_xlfn.IFS('source Data'!$B5&lt;=25,"18-25",'source Data'!$B5&lt;=35,"26-35",'source Data'!$B5&lt;=45,"36-45",'source Data'!$B5&lt;=55,"46-55",'source Data'!$B5&lt;=65,"56-65",'source Data'!$B5&lt;=80,"66-80")</f>
        <v>36-45</v>
      </c>
      <c r="D5" s="20" t="s">
        <v>26</v>
      </c>
      <c r="E5" s="21">
        <v>45383</v>
      </c>
      <c r="F5" s="21">
        <v>45387</v>
      </c>
      <c r="G5" s="20" t="s">
        <v>27</v>
      </c>
      <c r="H5" s="20" t="s">
        <v>39</v>
      </c>
      <c r="I5" s="20" t="s">
        <v>40</v>
      </c>
      <c r="J5" s="20">
        <v>4</v>
      </c>
      <c r="K5" s="30">
        <v>8000</v>
      </c>
      <c r="L5" s="20" t="s">
        <v>30</v>
      </c>
      <c r="M5" s="20" t="s">
        <v>41</v>
      </c>
      <c r="N5" s="20" t="str">
        <f>IF('source Data'!$M5="None","Not Insured","Insured")</f>
        <v>Insured</v>
      </c>
      <c r="O5" s="20">
        <v>6</v>
      </c>
      <c r="P5" s="20" t="s">
        <v>23</v>
      </c>
      <c r="Q5" s="20" t="s">
        <v>23</v>
      </c>
      <c r="R5" s="20" t="s">
        <v>24</v>
      </c>
      <c r="S5" s="2"/>
      <c r="T5" s="2"/>
      <c r="U5" s="2"/>
      <c r="V5" s="2"/>
    </row>
    <row r="6" spans="1:22" x14ac:dyDescent="0.25">
      <c r="A6" s="18" t="s">
        <v>42</v>
      </c>
      <c r="B6" s="18">
        <v>18</v>
      </c>
      <c r="C6" s="18" t="str" cm="1">
        <f t="array" ref="C6">_xlfn.IFS('source Data'!$B6&lt;=25,"18-25",'source Data'!$B6&lt;=35,"26-35",'source Data'!$B6&lt;=45,"36-45",'source Data'!$B6&lt;=55,"46-55",'source Data'!$B6&lt;=65,"56-65",'source Data'!$B6&lt;=80,"66-80")</f>
        <v>18-25</v>
      </c>
      <c r="D6" s="18" t="s">
        <v>17</v>
      </c>
      <c r="E6" s="19">
        <v>45426</v>
      </c>
      <c r="F6" s="19">
        <v>45432</v>
      </c>
      <c r="G6" s="18" t="s">
        <v>43</v>
      </c>
      <c r="H6" s="18" t="s">
        <v>44</v>
      </c>
      <c r="I6" s="18" t="s">
        <v>29</v>
      </c>
      <c r="J6" s="18">
        <v>6</v>
      </c>
      <c r="K6" s="29">
        <v>1100</v>
      </c>
      <c r="L6" s="18" t="s">
        <v>37</v>
      </c>
      <c r="M6" s="18" t="s">
        <v>22</v>
      </c>
      <c r="N6" s="18" t="str">
        <f>IF('source Data'!$M6="None","Not Insured","Insured")</f>
        <v>Not Insured</v>
      </c>
      <c r="O6" s="18">
        <v>10</v>
      </c>
      <c r="P6" s="18" t="s">
        <v>23</v>
      </c>
      <c r="Q6" s="18" t="s">
        <v>32</v>
      </c>
      <c r="R6" s="18" t="s">
        <v>24</v>
      </c>
      <c r="S6" s="2"/>
      <c r="T6" s="2"/>
      <c r="U6" s="2"/>
      <c r="V6" s="2"/>
    </row>
    <row r="7" spans="1:22" x14ac:dyDescent="0.25">
      <c r="A7" s="20" t="s">
        <v>45</v>
      </c>
      <c r="B7" s="20">
        <v>72</v>
      </c>
      <c r="C7" s="20" t="str" cm="1">
        <f t="array" ref="C7">_xlfn.IFS('source Data'!$B7&lt;=25,"18-25",'source Data'!$B7&lt;=35,"26-35",'source Data'!$B7&lt;=45,"36-45",'source Data'!$B7&lt;=55,"46-55",'source Data'!$B7&lt;=65,"56-65",'source Data'!$B7&lt;=80,"66-80")</f>
        <v>66-80</v>
      </c>
      <c r="D7" s="20" t="s">
        <v>26</v>
      </c>
      <c r="E7" s="21">
        <v>45453</v>
      </c>
      <c r="F7" s="21">
        <v>45458</v>
      </c>
      <c r="G7" s="20" t="s">
        <v>34</v>
      </c>
      <c r="H7" s="20" t="s">
        <v>46</v>
      </c>
      <c r="I7" s="20" t="s">
        <v>40</v>
      </c>
      <c r="J7" s="20">
        <v>5</v>
      </c>
      <c r="K7" s="30">
        <v>12000</v>
      </c>
      <c r="L7" s="20" t="s">
        <v>30</v>
      </c>
      <c r="M7" s="20" t="s">
        <v>31</v>
      </c>
      <c r="N7" s="20" t="str">
        <f>IF('source Data'!$M7="None","Not Insured","Insured")</f>
        <v>Insured</v>
      </c>
      <c r="O7" s="20">
        <v>8</v>
      </c>
      <c r="P7" s="20" t="s">
        <v>32</v>
      </c>
      <c r="Q7" s="20" t="s">
        <v>23</v>
      </c>
      <c r="R7" s="20" t="s">
        <v>47</v>
      </c>
      <c r="S7" s="2"/>
      <c r="T7" s="2"/>
      <c r="U7" s="2"/>
      <c r="V7" s="2"/>
    </row>
    <row r="8" spans="1:22" x14ac:dyDescent="0.25">
      <c r="A8" s="18" t="s">
        <v>48</v>
      </c>
      <c r="B8" s="18">
        <v>29</v>
      </c>
      <c r="C8" s="18" t="str" cm="1">
        <f t="array" ref="C8">_xlfn.IFS('source Data'!$B8&lt;=25,"18-25",'source Data'!$B8&lt;=35,"26-35",'source Data'!$B8&lt;=45,"36-45",'source Data'!$B8&lt;=55,"46-55",'source Data'!$B8&lt;=65,"56-65",'source Data'!$B8&lt;=80,"66-80")</f>
        <v>26-35</v>
      </c>
      <c r="D8" s="18" t="s">
        <v>26</v>
      </c>
      <c r="E8" s="19">
        <v>45495</v>
      </c>
      <c r="F8" s="19">
        <v>45500</v>
      </c>
      <c r="G8" s="18" t="s">
        <v>18</v>
      </c>
      <c r="H8" s="18" t="s">
        <v>49</v>
      </c>
      <c r="I8" s="18" t="s">
        <v>20</v>
      </c>
      <c r="J8" s="18">
        <v>5</v>
      </c>
      <c r="K8" s="29">
        <v>900</v>
      </c>
      <c r="L8" s="18" t="s">
        <v>21</v>
      </c>
      <c r="M8" s="18" t="s">
        <v>22</v>
      </c>
      <c r="N8" s="18" t="str">
        <f>IF('source Data'!$M8="None","Not Insured","Insured")</f>
        <v>Not Insured</v>
      </c>
      <c r="O8" s="18">
        <v>9</v>
      </c>
      <c r="P8" s="18" t="s">
        <v>23</v>
      </c>
      <c r="Q8" s="18" t="s">
        <v>23</v>
      </c>
      <c r="R8" s="18" t="s">
        <v>24</v>
      </c>
      <c r="S8" s="2"/>
      <c r="T8" s="2"/>
      <c r="U8" s="2"/>
      <c r="V8" s="2"/>
    </row>
    <row r="9" spans="1:22" x14ac:dyDescent="0.25">
      <c r="A9" s="20" t="s">
        <v>50</v>
      </c>
      <c r="B9" s="20">
        <v>52</v>
      </c>
      <c r="C9" s="20" t="str" cm="1">
        <f t="array" ref="C9">_xlfn.IFS('source Data'!$B9&lt;=25,"18-25",'source Data'!$B9&lt;=35,"26-35",'source Data'!$B9&lt;=45,"36-45",'source Data'!$B9&lt;=55,"46-55",'source Data'!$B9&lt;=65,"56-65",'source Data'!$B9&lt;=80,"66-80")</f>
        <v>46-55</v>
      </c>
      <c r="D9" s="20" t="s">
        <v>17</v>
      </c>
      <c r="E9" s="21">
        <v>45519</v>
      </c>
      <c r="F9" s="21">
        <v>45524</v>
      </c>
      <c r="G9" s="20" t="s">
        <v>27</v>
      </c>
      <c r="H9" s="20" t="s">
        <v>51</v>
      </c>
      <c r="I9" s="20" t="s">
        <v>40</v>
      </c>
      <c r="J9" s="20">
        <v>5</v>
      </c>
      <c r="K9" s="30">
        <v>15000</v>
      </c>
      <c r="L9" s="20" t="s">
        <v>30</v>
      </c>
      <c r="M9" s="20" t="s">
        <v>52</v>
      </c>
      <c r="N9" s="20" t="str">
        <f>IF('source Data'!$M9="None","Not Insured","Insured")</f>
        <v>Insured</v>
      </c>
      <c r="O9" s="20">
        <v>7</v>
      </c>
      <c r="P9" s="20" t="s">
        <v>23</v>
      </c>
      <c r="Q9" s="20" t="s">
        <v>32</v>
      </c>
      <c r="R9" s="20" t="s">
        <v>24</v>
      </c>
      <c r="S9" s="2"/>
      <c r="T9" s="2"/>
      <c r="U9" s="2"/>
      <c r="V9" s="2"/>
    </row>
    <row r="10" spans="1:22" x14ac:dyDescent="0.25">
      <c r="A10" s="18" t="s">
        <v>53</v>
      </c>
      <c r="B10" s="18">
        <v>40</v>
      </c>
      <c r="C10" s="18" t="str" cm="1">
        <f t="array" ref="C10">_xlfn.IFS('source Data'!$B10&lt;=25,"18-25",'source Data'!$B10&lt;=35,"26-35",'source Data'!$B10&lt;=45,"36-45",'source Data'!$B10&lt;=55,"46-55",'source Data'!$B10&lt;=65,"56-65",'source Data'!$B10&lt;=80,"66-80")</f>
        <v>36-45</v>
      </c>
      <c r="D10" s="18" t="s">
        <v>26</v>
      </c>
      <c r="E10" s="19">
        <v>45540</v>
      </c>
      <c r="F10" s="19">
        <v>45545</v>
      </c>
      <c r="G10" s="18" t="s">
        <v>34</v>
      </c>
      <c r="H10" s="18" t="s">
        <v>54</v>
      </c>
      <c r="I10" s="18" t="s">
        <v>29</v>
      </c>
      <c r="J10" s="18">
        <v>5</v>
      </c>
      <c r="K10" s="29">
        <v>500</v>
      </c>
      <c r="L10" s="18" t="s">
        <v>37</v>
      </c>
      <c r="M10" s="18" t="s">
        <v>22</v>
      </c>
      <c r="N10" s="18" t="str">
        <f>IF('source Data'!$M10="None","Not Insured","Insured")</f>
        <v>Not Insured</v>
      </c>
      <c r="O10" s="18">
        <v>9</v>
      </c>
      <c r="P10" s="18" t="s">
        <v>23</v>
      </c>
      <c r="Q10" s="18" t="s">
        <v>23</v>
      </c>
      <c r="R10" s="18" t="s">
        <v>24</v>
      </c>
      <c r="S10" s="2"/>
      <c r="T10" s="2"/>
      <c r="U10" s="2"/>
      <c r="V10" s="2"/>
    </row>
    <row r="11" spans="1:22" x14ac:dyDescent="0.25">
      <c r="A11" s="20" t="s">
        <v>55</v>
      </c>
      <c r="B11" s="20">
        <v>37</v>
      </c>
      <c r="C11" s="20" t="str" cm="1">
        <f t="array" ref="C11">_xlfn.IFS('source Data'!$B11&lt;=25,"18-25",'source Data'!$B11&lt;=35,"26-35",'source Data'!$B11&lt;=45,"36-45",'source Data'!$B11&lt;=55,"46-55",'source Data'!$B11&lt;=65,"56-65",'source Data'!$B11&lt;=80,"66-80")</f>
        <v>36-45</v>
      </c>
      <c r="D11" s="20" t="s">
        <v>17</v>
      </c>
      <c r="E11" s="21">
        <v>45566</v>
      </c>
      <c r="F11" s="21">
        <v>45568</v>
      </c>
      <c r="G11" s="20" t="s">
        <v>56</v>
      </c>
      <c r="H11" s="20" t="s">
        <v>57</v>
      </c>
      <c r="I11" s="20" t="s">
        <v>36</v>
      </c>
      <c r="J11" s="20">
        <v>2</v>
      </c>
      <c r="K11" s="30">
        <v>300</v>
      </c>
      <c r="L11" s="20" t="s">
        <v>21</v>
      </c>
      <c r="M11" s="20" t="s">
        <v>22</v>
      </c>
      <c r="N11" s="20" t="str">
        <f>IF('source Data'!$M11="None","Not Insured","Insured")</f>
        <v>Not Insured</v>
      </c>
      <c r="O11" s="20">
        <v>10</v>
      </c>
      <c r="P11" s="20" t="s">
        <v>23</v>
      </c>
      <c r="Q11" s="20" t="s">
        <v>23</v>
      </c>
      <c r="R11" s="20" t="s">
        <v>24</v>
      </c>
      <c r="S11" s="2"/>
      <c r="T11" s="2"/>
      <c r="U11" s="2"/>
      <c r="V11" s="2"/>
    </row>
    <row r="12" spans="1:22" x14ac:dyDescent="0.25">
      <c r="A12" s="18" t="s">
        <v>58</v>
      </c>
      <c r="B12" s="18">
        <v>65</v>
      </c>
      <c r="C12" s="18" t="str" cm="1">
        <f t="array" ref="C12">_xlfn.IFS('source Data'!$B12&lt;=25,"18-25",'source Data'!$B12&lt;=35,"26-35",'source Data'!$B12&lt;=45,"36-45",'source Data'!$B12&lt;=55,"46-55",'source Data'!$B12&lt;=65,"56-65",'source Data'!$B12&lt;=80,"66-80")</f>
        <v>56-65</v>
      </c>
      <c r="D12" s="18" t="s">
        <v>26</v>
      </c>
      <c r="E12" s="19">
        <v>45580</v>
      </c>
      <c r="F12" s="19">
        <v>45595</v>
      </c>
      <c r="G12" s="18" t="s">
        <v>59</v>
      </c>
      <c r="H12" s="18" t="s">
        <v>60</v>
      </c>
      <c r="I12" s="18" t="s">
        <v>61</v>
      </c>
      <c r="J12" s="18">
        <v>15</v>
      </c>
      <c r="K12" s="29">
        <v>25000</v>
      </c>
      <c r="L12" s="18" t="s">
        <v>30</v>
      </c>
      <c r="M12" s="18" t="s">
        <v>31</v>
      </c>
      <c r="N12" s="18" t="str">
        <f>IF('source Data'!$M12="None","Not Insured","Insured")</f>
        <v>Insured</v>
      </c>
      <c r="O12" s="18">
        <v>6</v>
      </c>
      <c r="P12" s="18" t="s">
        <v>32</v>
      </c>
      <c r="Q12" s="18" t="s">
        <v>23</v>
      </c>
      <c r="R12" s="18" t="s">
        <v>24</v>
      </c>
      <c r="S12" s="2"/>
      <c r="T12" s="2"/>
      <c r="U12" s="2"/>
      <c r="V12" s="2"/>
    </row>
    <row r="13" spans="1:22" x14ac:dyDescent="0.25">
      <c r="A13" s="20" t="s">
        <v>62</v>
      </c>
      <c r="B13" s="20">
        <v>80</v>
      </c>
      <c r="C13" s="20" t="str" cm="1">
        <f t="array" ref="C13">_xlfn.IFS('source Data'!$B13&lt;=25,"18-25",'source Data'!$B13&lt;=35,"26-35",'source Data'!$B13&lt;=45,"36-45",'source Data'!$B13&lt;=55,"46-55",'source Data'!$B13&lt;=65,"56-65",'source Data'!$B13&lt;=80,"66-80")</f>
        <v>66-80</v>
      </c>
      <c r="D13" s="20" t="s">
        <v>17</v>
      </c>
      <c r="E13" s="21">
        <v>45601</v>
      </c>
      <c r="F13" s="21">
        <v>45608</v>
      </c>
      <c r="G13" s="20" t="s">
        <v>63</v>
      </c>
      <c r="H13" s="20" t="s">
        <v>64</v>
      </c>
      <c r="I13" s="20" t="s">
        <v>29</v>
      </c>
      <c r="J13" s="20">
        <v>7</v>
      </c>
      <c r="K13" s="30">
        <v>3000</v>
      </c>
      <c r="L13" s="20" t="s">
        <v>30</v>
      </c>
      <c r="M13" s="20" t="s">
        <v>41</v>
      </c>
      <c r="N13" s="20" t="str">
        <f>IF('source Data'!$M13="None","Not Insured","Insured")</f>
        <v>Insured</v>
      </c>
      <c r="O13" s="20">
        <v>5</v>
      </c>
      <c r="P13" s="20" t="s">
        <v>32</v>
      </c>
      <c r="Q13" s="20" t="s">
        <v>32</v>
      </c>
      <c r="R13" s="20" t="s">
        <v>47</v>
      </c>
      <c r="S13" s="2"/>
      <c r="T13" s="2"/>
      <c r="U13" s="2"/>
      <c r="V13" s="2"/>
    </row>
    <row r="14" spans="1:22" x14ac:dyDescent="0.25">
      <c r="A14" s="18" t="s">
        <v>65</v>
      </c>
      <c r="B14" s="18">
        <v>48</v>
      </c>
      <c r="C14" s="18" t="str" cm="1">
        <f t="array" ref="C14">_xlfn.IFS('source Data'!$B14&lt;=25,"18-25",'source Data'!$B14&lt;=35,"26-35",'source Data'!$B14&lt;=45,"36-45",'source Data'!$B14&lt;=55,"46-55",'source Data'!$B14&lt;=65,"56-65",'source Data'!$B14&lt;=80,"66-80")</f>
        <v>46-55</v>
      </c>
      <c r="D14" s="18" t="s">
        <v>26</v>
      </c>
      <c r="E14" s="19">
        <v>45616</v>
      </c>
      <c r="F14" s="19">
        <v>45621</v>
      </c>
      <c r="G14" s="18" t="s">
        <v>27</v>
      </c>
      <c r="H14" s="18" t="s">
        <v>66</v>
      </c>
      <c r="I14" s="18" t="s">
        <v>29</v>
      </c>
      <c r="J14" s="18">
        <v>5</v>
      </c>
      <c r="K14" s="29">
        <v>2000</v>
      </c>
      <c r="L14" s="18" t="s">
        <v>30</v>
      </c>
      <c r="M14" s="18" t="s">
        <v>52</v>
      </c>
      <c r="N14" s="18" t="str">
        <f>IF('source Data'!$M14="None","Not Insured","Insured")</f>
        <v>Insured</v>
      </c>
      <c r="O14" s="18">
        <v>7</v>
      </c>
      <c r="P14" s="18" t="s">
        <v>23</v>
      </c>
      <c r="Q14" s="18" t="s">
        <v>23</v>
      </c>
      <c r="R14" s="18" t="s">
        <v>24</v>
      </c>
      <c r="S14" s="2"/>
      <c r="T14" s="2"/>
      <c r="U14" s="2"/>
      <c r="V14" s="2"/>
    </row>
    <row r="15" spans="1:22" x14ac:dyDescent="0.25">
      <c r="A15" s="20" t="s">
        <v>67</v>
      </c>
      <c r="B15" s="20">
        <v>33</v>
      </c>
      <c r="C15" s="20" t="str" cm="1">
        <f t="array" ref="C15">_xlfn.IFS('source Data'!$B15&lt;=25,"18-25",'source Data'!$B15&lt;=35,"26-35",'source Data'!$B15&lt;=45,"36-45",'source Data'!$B15&lt;=55,"46-55",'source Data'!$B15&lt;=65,"56-65",'source Data'!$B15&lt;=80,"66-80")</f>
        <v>26-35</v>
      </c>
      <c r="D15" s="20" t="s">
        <v>17</v>
      </c>
      <c r="E15" s="21">
        <v>45627</v>
      </c>
      <c r="F15" s="21">
        <v>45631</v>
      </c>
      <c r="G15" s="20" t="s">
        <v>34</v>
      </c>
      <c r="H15" s="20" t="s">
        <v>35</v>
      </c>
      <c r="I15" s="20" t="s">
        <v>36</v>
      </c>
      <c r="J15" s="20">
        <v>4</v>
      </c>
      <c r="K15" s="30">
        <v>800</v>
      </c>
      <c r="L15" s="20" t="s">
        <v>37</v>
      </c>
      <c r="M15" s="20" t="s">
        <v>22</v>
      </c>
      <c r="N15" s="20" t="str">
        <f>IF('source Data'!$M15="None","Not Insured","Insured")</f>
        <v>Not Insured</v>
      </c>
      <c r="O15" s="20">
        <v>9</v>
      </c>
      <c r="P15" s="20" t="s">
        <v>23</v>
      </c>
      <c r="Q15" s="20" t="s">
        <v>23</v>
      </c>
      <c r="R15" s="20" t="s">
        <v>24</v>
      </c>
      <c r="S15" s="2"/>
      <c r="T15" s="2"/>
      <c r="U15" s="2"/>
      <c r="V15" s="2"/>
    </row>
    <row r="16" spans="1:22" x14ac:dyDescent="0.25">
      <c r="A16" s="18" t="s">
        <v>68</v>
      </c>
      <c r="B16" s="18">
        <v>55</v>
      </c>
      <c r="C16" s="18" t="str" cm="1">
        <f t="array" ref="C16">_xlfn.IFS('source Data'!$B16&lt;=25,"18-25",'source Data'!$B16&lt;=35,"26-35",'source Data'!$B16&lt;=45,"36-45",'source Data'!$B16&lt;=55,"46-55",'source Data'!$B16&lt;=65,"56-65",'source Data'!$B16&lt;=80,"66-80")</f>
        <v>46-55</v>
      </c>
      <c r="D16" s="18" t="s">
        <v>26</v>
      </c>
      <c r="E16" s="19">
        <v>45636</v>
      </c>
      <c r="F16" s="19">
        <v>45641</v>
      </c>
      <c r="G16" s="18" t="s">
        <v>18</v>
      </c>
      <c r="H16" s="18" t="s">
        <v>19</v>
      </c>
      <c r="I16" s="18" t="s">
        <v>40</v>
      </c>
      <c r="J16" s="18">
        <v>5</v>
      </c>
      <c r="K16" s="29">
        <v>5000</v>
      </c>
      <c r="L16" s="18" t="s">
        <v>30</v>
      </c>
      <c r="M16" s="18" t="s">
        <v>41</v>
      </c>
      <c r="N16" s="18" t="str">
        <f>IF('source Data'!$M16="None","Not Insured","Insured")</f>
        <v>Insured</v>
      </c>
      <c r="O16" s="18">
        <v>8</v>
      </c>
      <c r="P16" s="18" t="s">
        <v>23</v>
      </c>
      <c r="Q16" s="18" t="s">
        <v>23</v>
      </c>
      <c r="R16" s="18" t="s">
        <v>24</v>
      </c>
      <c r="S16" s="1"/>
      <c r="T16" s="1"/>
      <c r="U16" s="1"/>
      <c r="V16"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99D28-82C1-46E0-A201-E446EC111D72}">
  <dimension ref="A1"/>
  <sheetViews>
    <sheetView showGridLines="0" showRowColHeaders="0" topLeftCell="B8" workbookViewId="0">
      <selection activeCell="C4" sqref="C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questions</vt:lpstr>
      <vt:lpstr>ANALYSIS</vt:lpstr>
      <vt:lpstr>HOSPITAL OVERVIEW</vt:lpstr>
      <vt:lpstr>Hospital Dashboard</vt:lpstr>
      <vt:lpstr>source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Okikiola Oyeniyi</cp:lastModifiedBy>
  <dcterms:created xsi:type="dcterms:W3CDTF">2024-11-27T08:09:11Z</dcterms:created>
  <dcterms:modified xsi:type="dcterms:W3CDTF">2026-02-09T20:36:05Z</dcterms:modified>
</cp:coreProperties>
</file>